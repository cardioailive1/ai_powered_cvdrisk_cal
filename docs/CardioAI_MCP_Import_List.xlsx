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y calculator" sheetId="2" state="visible" r:id="rId4"/>
    <sheet name="Source tables" sheetId="3" state="visible" r:id="rId5"/>
    <sheet name="Labs &amp; vitals" sheetId="4" state="visible" r:id="rId6"/>
    <sheet name="History diagnoses" sheetId="5" state="visible" r:id="rId7"/>
    <sheet name="Outcome diagnoses" sheetId="6" state="visible" r:id="rId8"/>
    <sheet name="Procedures" sheetId="7" state="visible" r:id="rId9"/>
    <sheet name="Medications" sheetId="8" state="visible" r:id="rId10"/>
    <sheet name="Notes &amp; reports" sheetId="9" state="visible" r:id="rId11"/>
    <sheet name="Concepts &amp; demographics" sheetId="10" state="visible" r:id="rId12"/>
    <sheet name="Eligibility" sheetId="11" state="visible" r:id="rId13"/>
    <sheet name="Python packages" sheetId="12" state="visible" r:id="rId14"/>
    <sheet name="Open confirmation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<sst xmlns="http://schemas.openxmlformats.org/spreadsheetml/2006/main" count="11132" uniqueCount="2275">
  <si>
    <t xml:space="preserve">CardioAI: data import list for Mayo Clinic Platform</t>
  </si>
  <si>
    <t xml:space="preserve">Purpose</t>
  </si>
  <si>
    <t xml:space="preserve">Every data element, code and table the five CardioAI risk calculators (AMI, Stroke, Heart Failure, Sudden Cardiac Death, Atrial Fibrillation) import from Mayo Clinic Platform for training, plus the Python packages the workspace needs.</t>
  </si>
  <si>
    <t xml:space="preserve">Prepared by</t>
  </si>
  <si>
    <t xml:space="preserve">CardioAI (cardioailive.com)</t>
  </si>
  <si>
    <t xml:space="preserve">Date</t>
  </si>
  <si>
    <t xml:space="preserve">2026-10-21</t>
  </si>
  <si>
    <t xml:space="preserve">Source of truth</t>
  </si>
  <si>
    <t xml:space="preserve">Generated from the CardioAI code sets (cardioai_core/schema.py, training/codesets.py, training/code_lists/candidate_codes.csv). The extraction SQL uses exactly these lists.</t>
  </si>
  <si>
    <t xml:space="preserve">Data model</t>
  </si>
  <si>
    <t xml:space="preserve">OMOP CDM on Spark SQL, plus Mayo native tables FACT_ECHO_TEST and FACT_RADIOLOGY.</t>
  </si>
  <si>
    <t xml:space="preserve">Population</t>
  </si>
  <si>
    <t xml:space="preserve">Adults aged 18–89 at the index visit. No pediatric patients. Full criteria on the Eligibility tab.</t>
  </si>
  <si>
    <t xml:space="preserve">Index date</t>
  </si>
  <si>
    <t xml:space="preserve">One outpatient visit per patient, 2012-01-01 to 2019-12-31.</t>
  </si>
  <si>
    <t xml:space="preserve">Time windows</t>
  </si>
  <si>
    <t xml:space="preserve">Baseline labs, vitals and reports: 730 days up to index. Medications: 365 days before index. History: any time on or before index. Outcomes: any time after index. Adjudication evidence: around each candidate event (see each tab).</t>
  </si>
  <si>
    <t xml:space="preserve">Data leaving the workspace</t>
  </si>
  <si>
    <t xml:space="preserve">None at patient level. Only the export-reviewed model bundle and aggregate metrics (cells &lt; 11 suppressed).</t>
  </si>
  <si>
    <t xml:space="preserve">Codes in this workbook</t>
  </si>
  <si>
    <t xml:space="preserve">   Labs &amp; vitals (LOINC)</t>
  </si>
  <si>
    <t xml:space="preserve">   History diagnoses (ICD)</t>
  </si>
  <si>
    <t xml:space="preserve">   Outcome diagnoses (ICD)</t>
  </si>
  <si>
    <t xml:space="preserve">   Procedure code groups</t>
  </si>
  <si>
    <t xml:space="preserve">   Medication classes (ATC)</t>
  </si>
  <si>
    <t xml:space="preserve">Tabs</t>
  </si>
  <si>
    <t xml:space="preserve">By calculator</t>
  </si>
  <si>
    <t xml:space="preserve">What each calculator imports, and code counts per calculator</t>
  </si>
  <si>
    <t xml:space="preserve">Source tables</t>
  </si>
  <si>
    <t xml:space="preserve">OMOP and native tables and the columns read</t>
  </si>
  <si>
    <t xml:space="preserve">Labs &amp; vitals</t>
  </si>
  <si>
    <t xml:space="preserve">LOINC codes: model inputs, eligibility, adjudication evidence</t>
  </si>
  <si>
    <t xml:space="preserve">History diagnoses</t>
  </si>
  <si>
    <t xml:space="preserve">Every ICD-10-CM / ICD-9-CM code behind each history flag</t>
  </si>
  <si>
    <t xml:space="preserve">Outcome diagnoses</t>
  </si>
  <si>
    <t xml:space="preserve">Every ICD code that creates a candidate outcome event (included = yes), and the excluded ones</t>
  </si>
  <si>
    <t xml:space="preserve">Procedures</t>
  </si>
  <si>
    <t xml:space="preserve">CPT4 and ICD-10-PCS codes used as adjudication evidence</t>
  </si>
  <si>
    <t xml:space="preserve">Medications</t>
  </si>
  <si>
    <t xml:space="preserve">ATC classes (mapped to RxNorm in the workspace)</t>
  </si>
  <si>
    <t xml:space="preserve">Notes &amp; reports</t>
  </si>
  <si>
    <t xml:space="preserve">Clinical notes, radiology and echo reports, and their windows</t>
  </si>
  <si>
    <t xml:space="preserve">Concepts &amp; demographics</t>
  </si>
  <si>
    <t xml:space="preserve">Person, visit, death and status concepts</t>
  </si>
  <si>
    <t xml:space="preserve">Eligibility</t>
  </si>
  <si>
    <t xml:space="preserve">Inclusion and exclusion criteria, with age bounds</t>
  </si>
  <si>
    <t xml:space="preserve">Python packages</t>
  </si>
  <si>
    <t xml:space="preserve">Packages the code imports, versions, and whether the workspace needs them</t>
  </si>
  <si>
    <t xml:space="preserve">Open confirmations</t>
  </si>
  <si>
    <t xml:space="preserve">Questions for MCP. Yellow cells are for MCP's answers</t>
  </si>
  <si>
    <t xml:space="preserve">Notes</t>
  </si>
  <si>
    <t xml:space="preserve">ICD-10-CM codes: CMS/CDC release of 1 April 2026; ICD-9-CM: CMS v32 (final). 'header' codes are not billable today but appear in older records. CPT descriptions are not reproduced (AMA licence); MCP's concept table has them. LOINC names are short forms; verify assay codes against Mayo's lab catalogue.</t>
  </si>
  <si>
    <t xml:space="preserve">What each calculator imports</t>
  </si>
  <si>
    <t xml:space="preserve">Y = the calculator uses this element. All five models share the same baseline inputs; they differ in outcome codes and adjudication evidence. Code counts below are formulas over the code tabs.</t>
  </si>
  <si>
    <t xml:space="preserve">Data element group</t>
  </si>
  <si>
    <t xml:space="preserve">Includes</t>
  </si>
  <si>
    <t xml:space="preserve">AMI</t>
  </si>
  <si>
    <t xml:space="preserve">Stroke</t>
  </si>
  <si>
    <t xml:space="preserve">HF</t>
  </si>
  <si>
    <t xml:space="preserve">SCD</t>
  </si>
  <si>
    <t xml:space="preserve">AF</t>
  </si>
  <si>
    <t xml:space="preserve">Demographics</t>
  </si>
  <si>
    <t xml:space="preserve">age, sex, race/ethnicity, height, weight, BMI</t>
  </si>
  <si>
    <t xml:space="preserve">Y</t>
  </si>
  <si>
    <t xml:space="preserve">History flags</t>
  </si>
  <si>
    <t xml:space="preserve">prior MI, prior stroke/TIA, angina, heart failure, AF, family history CAD, hypertension, PAD, smoking, diabetes</t>
  </si>
  <si>
    <t xml:space="preserve">Vitals and labs</t>
  </si>
  <si>
    <t xml:space="preserve">SBP, DBP, total/HDL/LDL cholesterol, triglycerides, glucose, HbA1c, hs-CRP, eGFR</t>
  </si>
  <si>
    <t xml:space="preserve">Imaging values</t>
  </si>
  <si>
    <t xml:space="preserve">Coronary calcium (radiology reports), LVEF (echo)</t>
  </si>
  <si>
    <t xml:space="preserve">statin, aspirin, ACE-I/ARB, beta blocker, anticoagulant, any antihypertensive</t>
  </si>
  <si>
    <t xml:space="preserve">Outcome diagnosis codes</t>
  </si>
  <si>
    <t xml:space="preserve">Candidate events after index (one family per calculator)</t>
  </si>
  <si>
    <t xml:space="preserve">Troponin I / T, hs-troponin</t>
  </si>
  <si>
    <t xml:space="preserve">AMI adjudication evidence</t>
  </si>
  <si>
    <t xml:space="preserve">BNP / NT-proBNP</t>
  </si>
  <si>
    <t xml:space="preserve">HF adjudication evidence</t>
  </si>
  <si>
    <t xml:space="preserve">Coronary angiography, PCI</t>
  </si>
  <si>
    <t xml:space="preserve">Head CT/MRI, thrombolysis, thrombectomy</t>
  </si>
  <si>
    <t xml:space="preserve">Stroke adjudication evidence</t>
  </si>
  <si>
    <t xml:space="preserve">Echocardiogram, event-window echo reports</t>
  </si>
  <si>
    <t xml:space="preserve">HF adjudication evidence (HFrEF / HFpEF)</t>
  </si>
  <si>
    <t xml:space="preserve">CPR, defibrillation, ICD implant, death date</t>
  </si>
  <si>
    <t xml:space="preserve">SCD adjudication evidence</t>
  </si>
  <si>
    <t xml:space="preserve">Cardioversion, cardiac surgery</t>
  </si>
  <si>
    <t xml:space="preserve">AF adjudication evidence; post-operative AF rule</t>
  </si>
  <si>
    <t xml:space="preserve">Event-window clinical notes</t>
  </si>
  <si>
    <t xml:space="preserve">Adjudication evidence for every calculator</t>
  </si>
  <si>
    <t xml:space="preserve">Visit setting, primary diagnosis</t>
  </si>
  <si>
    <t xml:space="preserve">Adjudication evidence</t>
  </si>
  <si>
    <t xml:space="preserve">Codes per calculator</t>
  </si>
  <si>
    <t xml:space="preserve">Count</t>
  </si>
  <si>
    <t xml:space="preserve">Outcome ICD codes (included)</t>
  </si>
  <si>
    <t xml:space="preserve">Outcome ICD codes (excluded on purpose)</t>
  </si>
  <si>
    <t xml:space="preserve">Evidence LOINC codes</t>
  </si>
  <si>
    <t xml:space="preserve">Evidence procedure code groups</t>
  </si>
  <si>
    <t xml:space="preserve">Shared baseline LOINC codes</t>
  </si>
  <si>
    <t xml:space="preserve">Shared history ICD codes</t>
  </si>
  <si>
    <t xml:space="preserve">Tables and columns read</t>
  </si>
  <si>
    <t xml:space="preserve">Read-only access is needed to these tables in the de-identified OMOP CDM and the native FACT tables. Please confirm the Spark catalog and schema names (Open confirmations #2).</t>
  </si>
  <si>
    <t xml:space="preserve">Table</t>
  </si>
  <si>
    <t xml:space="preserve">Model</t>
  </si>
  <si>
    <t xml:space="preserve">Columns read</t>
  </si>
  <si>
    <t xml:space="preserve">Calculators</t>
  </si>
  <si>
    <t xml:space="preserve">Used for</t>
  </si>
  <si>
    <t xml:space="preserve">Access needed</t>
  </si>
  <si>
    <t xml:space="preserve">person</t>
  </si>
  <si>
    <t xml:space="preserve">OMOP CDM</t>
  </si>
  <si>
    <t xml:space="preserve">person_id, gender_concept_id, year/month/day_of_birth, birth_datetime, race_concept_id, ethnicity_concept_id</t>
  </si>
  <si>
    <t xml:space="preserve">All 5</t>
  </si>
  <si>
    <t xml:space="preserve">Demographics, eligibility</t>
  </si>
  <si>
    <t xml:space="preserve">Yes</t>
  </si>
  <si>
    <t xml:space="preserve">observation_period</t>
  </si>
  <si>
    <t xml:space="preserve">person_id, observation_period_start_date, observation_period_end_date</t>
  </si>
  <si>
    <t xml:space="preserve">Eligibility, follow-up</t>
  </si>
  <si>
    <t xml:space="preserve">visit_occurrence</t>
  </si>
  <si>
    <t xml:space="preserve">visit_occurrence_id, person_id, visit_concept_id, visit_start_date, visit_end_date</t>
  </si>
  <si>
    <t xml:space="preserve">Index visit; acute setting</t>
  </si>
  <si>
    <t xml:space="preserve">condition_occurrence</t>
  </si>
  <si>
    <t xml:space="preserve">person_id, condition_concept_id, condition_source_concept_id, condition_source_value, condition_start_date, condition_status_concept_id, condition_type_concept_id, visit_occurrence_id</t>
  </si>
  <si>
    <t xml:space="preserve">History flags; outcome candidates</t>
  </si>
  <si>
    <t xml:space="preserve">observation</t>
  </si>
  <si>
    <t xml:space="preserve">person_id, observation_concept_id, observation_source_concept_id, observation_source_value, observation_date</t>
  </si>
  <si>
    <t xml:space="preserve">History Z/V codes (family history, smoking, prior stroke)</t>
  </si>
  <si>
    <t xml:space="preserve">measurement</t>
  </si>
  <si>
    <t xml:space="preserve">measurement_id, person_id, measurement_concept_id, measurement_date, measurement_datetime, value_as_number, unit_concept_id, unit_source_value, range_high</t>
  </si>
  <si>
    <t xml:space="preserve">Labs/vitals; troponin, BNP evidence</t>
  </si>
  <si>
    <t xml:space="preserve">procedure_occurrence</t>
  </si>
  <si>
    <t xml:space="preserve">person_id, procedure_concept_id, procedure_source_concept_id, procedure_source_value, procedure_date</t>
  </si>
  <si>
    <t xml:space="preserve">drug_exposure</t>
  </si>
  <si>
    <t xml:space="preserve">person_id, drug_concept_id, drug_exposure_start_date, drug_exposure_end_date</t>
  </si>
  <si>
    <t xml:space="preserve">Medication flags</t>
  </si>
  <si>
    <t xml:space="preserve">death</t>
  </si>
  <si>
    <t xml:space="preserve">person_id, death_date, cause_concept_id</t>
  </si>
  <si>
    <t xml:space="preserve">Exclusion, censoring, SCD evidence</t>
  </si>
  <si>
    <t xml:space="preserve">note</t>
  </si>
  <si>
    <t xml:space="preserve">note_id, person_id, note_date, note_title, note_text</t>
  </si>
  <si>
    <t xml:space="preserve">CAC, LVEF, event-window notes (includes FACT_RADIOLOGY reports)</t>
  </si>
  <si>
    <t xml:space="preserve">concept</t>
  </si>
  <si>
    <t xml:space="preserve">OMOP vocabulary</t>
  </si>
  <si>
    <t xml:space="preserve">concept_id, concept_code, vocabulary_id, concept_name, domain_id</t>
  </si>
  <si>
    <t xml:space="preserve">Code look-up</t>
  </si>
  <si>
    <t xml:space="preserve">concept_ancestor</t>
  </si>
  <si>
    <t xml:space="preserve">ancestor_concept_id, descendant_concept_id</t>
  </si>
  <si>
    <t xml:space="preserve">ATC → RxNorm drug mapping</t>
  </si>
  <si>
    <t xml:space="preserve">FACT_ECHO_TEST</t>
  </si>
  <si>
    <t xml:space="preserve">Mayo native</t>
  </si>
  <si>
    <t xml:space="preserve">ECHO_NOTE (confirmed); patient key, echo date/time, echo id (to confirm)</t>
  </si>
  <si>
    <t xml:space="preserve">HF, SCD, AF (LVEF)</t>
  </si>
  <si>
    <t xml:space="preserve">LVEF at baseline and around HF candidates</t>
  </si>
  <si>
    <t xml:space="preserve">FACT_RADIOLOGY</t>
  </si>
  <si>
    <t xml:space="preserve">RADIOLOGY_REPORT (already in OMOP note.note_text)</t>
  </si>
  <si>
    <t xml:space="preserve">Only if OMOP note does not hold every report</t>
  </si>
  <si>
    <t xml:space="preserve">Confirm</t>
  </si>
  <si>
    <t xml:space="preserve">Labs and vitals (OMOP measurement, LOINC)</t>
  </si>
  <si>
    <t xml:space="preserve">Baseline values are the latest in the look-back window, harmonised to the units shown. Evidence labs are pulled for every result after index and read around each candidate event.</t>
  </si>
  <si>
    <t xml:space="preserve">Data element</t>
  </si>
  <si>
    <t xml:space="preserve">Vocabulary</t>
  </si>
  <si>
    <t xml:space="preserve">Code</t>
  </si>
  <si>
    <t xml:space="preserve">LOINC name</t>
  </si>
  <si>
    <t xml:space="preserve">Unit</t>
  </si>
  <si>
    <t xml:space="preserve">OMOP table</t>
  </si>
  <si>
    <t xml:space="preserve">Time window</t>
  </si>
  <si>
    <t xml:space="preserve">Height</t>
  </si>
  <si>
    <t xml:space="preserve">Model input (baseline)</t>
  </si>
  <si>
    <t xml:space="preserve">LOINC</t>
  </si>
  <si>
    <t xml:space="preserve">8302-2</t>
  </si>
  <si>
    <t xml:space="preserve">Body height</t>
  </si>
  <si>
    <t xml:space="preserve">cm</t>
  </si>
  <si>
    <t xml:space="preserve">Latest value in the 730 days up to and including index</t>
  </si>
  <si>
    <t xml:space="preserve">3137-7</t>
  </si>
  <si>
    <t xml:space="preserve">Body height Measured</t>
  </si>
  <si>
    <t xml:space="preserve">Weight</t>
  </si>
  <si>
    <t xml:space="preserve">29463-7</t>
  </si>
  <si>
    <t xml:space="preserve">Body weight</t>
  </si>
  <si>
    <t xml:space="preserve">kg</t>
  </si>
  <si>
    <t xml:space="preserve">3141-9</t>
  </si>
  <si>
    <t xml:space="preserve">Body weight Measured</t>
  </si>
  <si>
    <t xml:space="preserve">BMI</t>
  </si>
  <si>
    <t xml:space="preserve">39156-5</t>
  </si>
  <si>
    <t xml:space="preserve">Body mass index (BMI) [Ratio]</t>
  </si>
  <si>
    <t xml:space="preserve">kg/m²</t>
  </si>
  <si>
    <t xml:space="preserve">BMI is also computed from height and weight</t>
  </si>
  <si>
    <t xml:space="preserve">Systolic BP</t>
  </si>
  <si>
    <t xml:space="preserve">8480-6</t>
  </si>
  <si>
    <t xml:space="preserve">Systolic blood pressure</t>
  </si>
  <si>
    <t xml:space="preserve">mmHg</t>
  </si>
  <si>
    <t xml:space="preserve">8459-0</t>
  </si>
  <si>
    <t xml:space="preserve">Systolic blood pressure--sitting</t>
  </si>
  <si>
    <t xml:space="preserve">Diastolic BP</t>
  </si>
  <si>
    <t xml:space="preserve">8462-4</t>
  </si>
  <si>
    <t xml:space="preserve">Diastolic blood pressure</t>
  </si>
  <si>
    <t xml:space="preserve">8453-3</t>
  </si>
  <si>
    <t xml:space="preserve">Diastolic blood pressure--sitting</t>
  </si>
  <si>
    <t xml:space="preserve">Total Cholesterol</t>
  </si>
  <si>
    <t xml:space="preserve">2093-3</t>
  </si>
  <si>
    <t xml:space="preserve">Cholesterol [Mass/volume] in Serum or Plasma</t>
  </si>
  <si>
    <t xml:space="preserve">mg/dL</t>
  </si>
  <si>
    <t xml:space="preserve">HDL Cholesterol</t>
  </si>
  <si>
    <t xml:space="preserve">2085-8</t>
  </si>
  <si>
    <t xml:space="preserve">Cholesterol in HDL [Mass/volume] in Serum or Plasma</t>
  </si>
  <si>
    <t xml:space="preserve">LDL Cholesterol</t>
  </si>
  <si>
    <t xml:space="preserve">13457-7</t>
  </si>
  <si>
    <t xml:space="preserve">Cholesterol in LDL [Mass/volume] in Serum or Plasma by calculation</t>
  </si>
  <si>
    <t xml:space="preserve">18262-6</t>
  </si>
  <si>
    <t xml:space="preserve">Cholesterol in LDL [Mass/volume] in Serum or Plasma by Direct assay</t>
  </si>
  <si>
    <t xml:space="preserve">2089-1</t>
  </si>
  <si>
    <t xml:space="preserve">Cholesterol in LDL [Mass/volume] in Serum or Plasma</t>
  </si>
  <si>
    <t xml:space="preserve">Triglycerides</t>
  </si>
  <si>
    <t xml:space="preserve">2571-8</t>
  </si>
  <si>
    <t xml:space="preserve">Triglyceride [Mass/volume] in Serum or Plasma</t>
  </si>
  <si>
    <t xml:space="preserve">Fasting Glucose</t>
  </si>
  <si>
    <t xml:space="preserve">1558-6</t>
  </si>
  <si>
    <t xml:space="preserve">Fasting glucose [Mass/volume] in Serum or Plasma</t>
  </si>
  <si>
    <t xml:space="preserve">2345-7</t>
  </si>
  <si>
    <t xml:space="preserve">Glucose [Mass/volume] in Serum or Plasma</t>
  </si>
  <si>
    <t xml:space="preserve">HbA1c</t>
  </si>
  <si>
    <t xml:space="preserve">4548-4</t>
  </si>
  <si>
    <t xml:space="preserve">Hemoglobin A1c/Hemoglobin.total in Blood</t>
  </si>
  <si>
    <t xml:space="preserve">%</t>
  </si>
  <si>
    <t xml:space="preserve">17856-6</t>
  </si>
  <si>
    <t xml:space="preserve">Hemoglobin A1c/Hemoglobin.total in Blood by HPLC</t>
  </si>
  <si>
    <t xml:space="preserve">hs-CRP</t>
  </si>
  <si>
    <t xml:space="preserve">30522-7</t>
  </si>
  <si>
    <t xml:space="preserve">C reactive protein [Mass/volume] in Serum or Plasma by High sensitivity method</t>
  </si>
  <si>
    <t xml:space="preserve">mg/L</t>
  </si>
  <si>
    <t xml:space="preserve">1988-5</t>
  </si>
  <si>
    <t xml:space="preserve">C reactive protein [Mass/volume] in Serum or Plasma</t>
  </si>
  <si>
    <t xml:space="preserve">eGFR</t>
  </si>
  <si>
    <t xml:space="preserve">33914-3</t>
  </si>
  <si>
    <t xml:space="preserve">eGFR (MDRD) in Serum or Plasma</t>
  </si>
  <si>
    <t xml:space="preserve">mL/min/1.73m²</t>
  </si>
  <si>
    <t xml:space="preserve">62238-1</t>
  </si>
  <si>
    <t xml:space="preserve">eGFR (CKD-EPI) in Serum, Plasma or Blood</t>
  </si>
  <si>
    <t xml:space="preserve">98979-8</t>
  </si>
  <si>
    <t xml:space="preserve">eGFR (CKD-EPI 2021) in Serum, Plasma or Blood</t>
  </si>
  <si>
    <t xml:space="preserve">48642-3</t>
  </si>
  <si>
    <t xml:space="preserve">eGFR (MDRD) among non-blacks</t>
  </si>
  <si>
    <t xml:space="preserve">48643-1</t>
  </si>
  <si>
    <t xml:space="preserve">eGFR (MDRD) among blacks</t>
  </si>
  <si>
    <t xml:space="preserve">Eligibility (I4)</t>
  </si>
  <si>
    <t xml:space="preserve">Any value in the 365 days before index</t>
  </si>
  <si>
    <t xml:space="preserve">Inclusion I4: total or HDL cholesterol measured</t>
  </si>
  <si>
    <t xml:space="preserve">Troponin I</t>
  </si>
  <si>
    <t xml:space="preserve">Adjudication evidence (after index)</t>
  </si>
  <si>
    <t xml:space="preserve">10839-9</t>
  </si>
  <si>
    <t xml:space="preserve">Troponin I.cardiac [Mass/volume] in Serum or Plasma</t>
  </si>
  <si>
    <t xml:space="preserve">ng/L or ng/mL (converted to ng/L)</t>
  </si>
  <si>
    <t xml:space="preserve">measurement (incl. range_high)</t>
  </si>
  <si>
    <t xml:space="preserve">All results after index; reviewed -1 to +3 days around each candidate event</t>
  </si>
  <si>
    <t xml:space="preserve">range_high is used as the upper reference limit when present</t>
  </si>
  <si>
    <t xml:space="preserve">42757-5</t>
  </si>
  <si>
    <t xml:space="preserve">Troponin I.cardiac [Mass/volume] in Blood</t>
  </si>
  <si>
    <t xml:space="preserve">49563-0</t>
  </si>
  <si>
    <t xml:space="preserve">Troponin I.cardiac [Mass/volume] in Serum or Plasma by Detection limit &lt;= 0.01 ng/mL</t>
  </si>
  <si>
    <t xml:space="preserve">Troponin T (conventional)</t>
  </si>
  <si>
    <t xml:space="preserve">6598-7</t>
  </si>
  <si>
    <t xml:space="preserve">Troponin T.cardiac [Mass/volume] in Serum or Plasma</t>
  </si>
  <si>
    <t xml:space="preserve">hs-Troponin I</t>
  </si>
  <si>
    <t xml:space="preserve">89579-7</t>
  </si>
  <si>
    <t xml:space="preserve">Troponin I.cardiac [Mass/volume] in Serum or Plasma by High sensitivity method</t>
  </si>
  <si>
    <t xml:space="preserve">hs-Troponin T</t>
  </si>
  <si>
    <t xml:space="preserve">67151-1</t>
  </si>
  <si>
    <t xml:space="preserve">Troponin T.cardiac [Mass/volume] in Serum or Plasma by High sensitivity method (Mayo TRPS, Roche Gen 5)</t>
  </si>
  <si>
    <t xml:space="preserve">BNP</t>
  </si>
  <si>
    <t xml:space="preserve">30934-4</t>
  </si>
  <si>
    <t xml:space="preserve">Natriuretic peptide B [Mass/volume] in Serum or Plasma</t>
  </si>
  <si>
    <t xml:space="preserve">pg/mL (pmol/L converted)</t>
  </si>
  <si>
    <t xml:space="preserve">All results after index; reviewed -2 to +3 days around each candidate event</t>
  </si>
  <si>
    <t xml:space="preserve">42637-9</t>
  </si>
  <si>
    <t xml:space="preserve">Natriuretic peptide B [Mass/volume] in Blood</t>
  </si>
  <si>
    <t xml:space="preserve">NT-proBNP</t>
  </si>
  <si>
    <t xml:space="preserve">33762-6</t>
  </si>
  <si>
    <t xml:space="preserve">NT-proBNP [Mass/volume] in Serum or Plasma</t>
  </si>
  <si>
    <t xml:space="preserve">83107-3</t>
  </si>
  <si>
    <t xml:space="preserve">NT-proBNP [Mass/volume] in Serum, Plasma or Blood by Immunoassay (Mayo PBNP1)</t>
  </si>
  <si>
    <t xml:space="preserve">History diagnoses (every code)</t>
  </si>
  <si>
    <t xml:space="preserve">A flag is set when any of these codes is recorded on or before index, in condition_occurrence or observation. Expanded from the code-set patterns against the official code sets.</t>
  </si>
  <si>
    <t xml:space="preserve">History flag</t>
  </si>
  <si>
    <t xml:space="preserve">Description</t>
  </si>
  <si>
    <t xml:space="preserve">Status</t>
  </si>
  <si>
    <t xml:space="preserve">Prior MI</t>
  </si>
  <si>
    <t xml:space="preserve">Model input (history flag)</t>
  </si>
  <si>
    <t xml:space="preserve">ICD10CM</t>
  </si>
  <si>
    <t xml:space="preserve">I21</t>
  </si>
  <si>
    <t xml:space="preserve">Acute myocardial infarction</t>
  </si>
  <si>
    <t xml:space="preserve">header</t>
  </si>
  <si>
    <t xml:space="preserve">condition_occurrence + observation</t>
  </si>
  <si>
    <t xml:space="preserve">Any time on or before index</t>
  </si>
  <si>
    <t xml:space="preserve">I21.0</t>
  </si>
  <si>
    <t xml:space="preserve">ST elevation (STEMI) myocardial infarction of anterior wall</t>
  </si>
  <si>
    <t xml:space="preserve">I21.01</t>
  </si>
  <si>
    <t xml:space="preserve">ST elevation (STEMI) myocardial infarction involving left main coronary artery</t>
  </si>
  <si>
    <t xml:space="preserve">billable</t>
  </si>
  <si>
    <t xml:space="preserve">I21.02</t>
  </si>
  <si>
    <t xml:space="preserve">ST elevation (STEMI) myocardial infarction involving left anterior descending coronary artery</t>
  </si>
  <si>
    <t xml:space="preserve">I21.09</t>
  </si>
  <si>
    <t xml:space="preserve">ST elevation (STEMI) myocardial infarction involving other coronary artery of anterior wall</t>
  </si>
  <si>
    <t xml:space="preserve">I21.1</t>
  </si>
  <si>
    <t xml:space="preserve">ST elevation (STEMI) myocardial infarction of inferior wall</t>
  </si>
  <si>
    <t xml:space="preserve">I21.11</t>
  </si>
  <si>
    <t xml:space="preserve">ST elevation (STEMI) myocardial infarction involving right coronary artery</t>
  </si>
  <si>
    <t xml:space="preserve">I21.19</t>
  </si>
  <si>
    <t xml:space="preserve">ST elevation (STEMI) myocardial infarction involving other coronary artery of inferior wall</t>
  </si>
  <si>
    <t xml:space="preserve">I21.2</t>
  </si>
  <si>
    <t xml:space="preserve">ST elevation (STEMI) myocardial infarction of other sites</t>
  </si>
  <si>
    <t xml:space="preserve">I21.21</t>
  </si>
  <si>
    <t xml:space="preserve">ST elevation (STEMI) myocardial infarction involving left circumflex coronary artery</t>
  </si>
  <si>
    <t xml:space="preserve">I21.29</t>
  </si>
  <si>
    <t xml:space="preserve">ST elevation (STEMI) myocardial infarction involving other sites</t>
  </si>
  <si>
    <t xml:space="preserve">I21.3</t>
  </si>
  <si>
    <t xml:space="preserve">ST elevation (STEMI) myocardial infarction of unspecified site</t>
  </si>
  <si>
    <t xml:space="preserve">I21.4</t>
  </si>
  <si>
    <t xml:space="preserve">Non-ST elevation (NSTEMI) myocardial infarction</t>
  </si>
  <si>
    <t xml:space="preserve">I21.9</t>
  </si>
  <si>
    <t xml:space="preserve">Acute myocardial infarction, unspecified</t>
  </si>
  <si>
    <t xml:space="preserve">I21.A</t>
  </si>
  <si>
    <t xml:space="preserve">Other type of myocardial infarction</t>
  </si>
  <si>
    <t xml:space="preserve">I21.A1</t>
  </si>
  <si>
    <t xml:space="preserve">Myocardial infarction type 2</t>
  </si>
  <si>
    <t xml:space="preserve">I21.A9</t>
  </si>
  <si>
    <t xml:space="preserve">Other myocardial infarction type</t>
  </si>
  <si>
    <t xml:space="preserve">I21.B</t>
  </si>
  <si>
    <t xml:space="preserve">Myocardial infarction with coronary microvascular dysfunction</t>
  </si>
  <si>
    <t xml:space="preserve">I22</t>
  </si>
  <si>
    <t xml:space="preserve">Subsequent ST elevation (STEMI) and non-ST elevation (NSTEMI) myocardial infarction</t>
  </si>
  <si>
    <t xml:space="preserve">I22.0</t>
  </si>
  <si>
    <t xml:space="preserve">Subsequent ST elevation (STEMI) myocardial infarction of anterior wall</t>
  </si>
  <si>
    <t xml:space="preserve">I22.1</t>
  </si>
  <si>
    <t xml:space="preserve">Subsequent ST elevation (STEMI) myocardial infarction of inferior wall</t>
  </si>
  <si>
    <t xml:space="preserve">I22.2</t>
  </si>
  <si>
    <t xml:space="preserve">Subsequent non-ST elevation (NSTEMI) myocardial infarction</t>
  </si>
  <si>
    <t xml:space="preserve">I22.8</t>
  </si>
  <si>
    <t xml:space="preserve">Subsequent ST elevation (STEMI) myocardial infarction of other sites</t>
  </si>
  <si>
    <t xml:space="preserve">I22.9</t>
  </si>
  <si>
    <t xml:space="preserve">Subsequent ST elevation (STEMI) myocardial infarction of unspecified site</t>
  </si>
  <si>
    <t xml:space="preserve">I25.2</t>
  </si>
  <si>
    <t xml:space="preserve">Old myocardial infarction</t>
  </si>
  <si>
    <t xml:space="preserve">ICD9CM</t>
  </si>
  <si>
    <t xml:space="preserve">410.00</t>
  </si>
  <si>
    <t xml:space="preserve">Acute myocardial infarction of anterolateral wall, episode of care unspecified</t>
  </si>
  <si>
    <t xml:space="preserve">410.01</t>
  </si>
  <si>
    <t xml:space="preserve">Acute myocardial infarction of anterolateral wall, initial episode of care</t>
  </si>
  <si>
    <t xml:space="preserve">410.02</t>
  </si>
  <si>
    <t xml:space="preserve">Acute myocardial infarction of anterolateral wall, subsequent episode of care</t>
  </si>
  <si>
    <t xml:space="preserve">410.10</t>
  </si>
  <si>
    <t xml:space="preserve">Acute myocardial infarction of other anterior wall, episode of care unspecified</t>
  </si>
  <si>
    <t xml:space="preserve">410.11</t>
  </si>
  <si>
    <t xml:space="preserve">Acute myocardial infarction of other anterior wall, initial episode of care</t>
  </si>
  <si>
    <t xml:space="preserve">410.12</t>
  </si>
  <si>
    <t xml:space="preserve">Acute myocardial infarction of other anterior wall, subsequent episode of care</t>
  </si>
  <si>
    <t xml:space="preserve">410.20</t>
  </si>
  <si>
    <t xml:space="preserve">Acute myocardial infarction of inferolateral wall, episode of care unspecified</t>
  </si>
  <si>
    <t xml:space="preserve">410.21</t>
  </si>
  <si>
    <t xml:space="preserve">Acute myocardial infarction of inferolateral wall, initial episode of care</t>
  </si>
  <si>
    <t xml:space="preserve">410.22</t>
  </si>
  <si>
    <t xml:space="preserve">Acute myocardial infarction of inferolateral wall, subsequent episode of care</t>
  </si>
  <si>
    <t xml:space="preserve">410.30</t>
  </si>
  <si>
    <t xml:space="preserve">Acute myocardial infarction of inferoposterior wall, episode of care unspecified</t>
  </si>
  <si>
    <t xml:space="preserve">410.31</t>
  </si>
  <si>
    <t xml:space="preserve">Acute myocardial infarction of inferoposterior wall, initial episode of care</t>
  </si>
  <si>
    <t xml:space="preserve">410.32</t>
  </si>
  <si>
    <t xml:space="preserve">Acute myocardial infarction of inferoposterior wall, subsequent episode of care</t>
  </si>
  <si>
    <t xml:space="preserve">410.40</t>
  </si>
  <si>
    <t xml:space="preserve">Acute myocardial infarction of other inferior wall, episode of care unspecified</t>
  </si>
  <si>
    <t xml:space="preserve">410.41</t>
  </si>
  <si>
    <t xml:space="preserve">Acute myocardial infarction of other inferior wall, initial episode of care</t>
  </si>
  <si>
    <t xml:space="preserve">410.42</t>
  </si>
  <si>
    <t xml:space="preserve">Acute myocardial infarction of other inferior wall, subsequent episode of care</t>
  </si>
  <si>
    <t xml:space="preserve">410.50</t>
  </si>
  <si>
    <t xml:space="preserve">Acute myocardial infarction of other lateral wall, episode of care unspecified</t>
  </si>
  <si>
    <t xml:space="preserve">410.51</t>
  </si>
  <si>
    <t xml:space="preserve">Acute myocardial infarction of other lateral wall, initial episode of care</t>
  </si>
  <si>
    <t xml:space="preserve">410.52</t>
  </si>
  <si>
    <t xml:space="preserve">Acute myocardial infarction of other lateral wall, subsequent episode of care</t>
  </si>
  <si>
    <t xml:space="preserve">410.60</t>
  </si>
  <si>
    <t xml:space="preserve">True posterior wall infarction, episode of care unspecified</t>
  </si>
  <si>
    <t xml:space="preserve">410.61</t>
  </si>
  <si>
    <t xml:space="preserve">True posterior wall infarction, initial episode of care</t>
  </si>
  <si>
    <t xml:space="preserve">410.62</t>
  </si>
  <si>
    <t xml:space="preserve">True posterior wall infarction, subsequent episode of care</t>
  </si>
  <si>
    <t xml:space="preserve">410.70</t>
  </si>
  <si>
    <t xml:space="preserve">Subendocardial infarction, episode of care unspecified</t>
  </si>
  <si>
    <t xml:space="preserve">410.71</t>
  </si>
  <si>
    <t xml:space="preserve">Subendocardial infarction, initial episode of care</t>
  </si>
  <si>
    <t xml:space="preserve">410.72</t>
  </si>
  <si>
    <t xml:space="preserve">Subendocardial infarction, subsequent episode of care</t>
  </si>
  <si>
    <t xml:space="preserve">410.80</t>
  </si>
  <si>
    <t xml:space="preserve">Acute myocardial infarction of other specified sites, episode of care unspecified</t>
  </si>
  <si>
    <t xml:space="preserve">410.81</t>
  </si>
  <si>
    <t xml:space="preserve">Acute myocardial infarction of other specified sites, initial episode of care</t>
  </si>
  <si>
    <t xml:space="preserve">410.82</t>
  </si>
  <si>
    <t xml:space="preserve">Acute myocardial infarction of other specified sites, subsequent episode of care</t>
  </si>
  <si>
    <t xml:space="preserve">410.90</t>
  </si>
  <si>
    <t xml:space="preserve">Acute myocardial infarction of unspecified site, episode of care unspecified</t>
  </si>
  <si>
    <t xml:space="preserve">410.91</t>
  </si>
  <si>
    <t xml:space="preserve">Acute myocardial infarction of unspecified site, initial episode of care</t>
  </si>
  <si>
    <t xml:space="preserve">410.92</t>
  </si>
  <si>
    <t xml:space="preserve">Acute myocardial infarction of unspecified site, subsequent episode of care</t>
  </si>
  <si>
    <t xml:space="preserve">412</t>
  </si>
  <si>
    <t xml:space="preserve">Prior Stroke/TIA</t>
  </si>
  <si>
    <t xml:space="preserve">G45</t>
  </si>
  <si>
    <t xml:space="preserve">Transient cerebral ischemic attacks and related syndromes</t>
  </si>
  <si>
    <t xml:space="preserve">G45.0</t>
  </si>
  <si>
    <t xml:space="preserve">Vertebro-basilar artery syndrome</t>
  </si>
  <si>
    <t xml:space="preserve">G45.1</t>
  </si>
  <si>
    <t xml:space="preserve">Carotid artery syndrome (hemispheric)</t>
  </si>
  <si>
    <t xml:space="preserve">G45.2</t>
  </si>
  <si>
    <t xml:space="preserve">Multiple and bilateral precerebral artery syndromes</t>
  </si>
  <si>
    <t xml:space="preserve">G45.3</t>
  </si>
  <si>
    <t xml:space="preserve">Amaurosis fugax</t>
  </si>
  <si>
    <t xml:space="preserve">G45.4</t>
  </si>
  <si>
    <t xml:space="preserve">Transient global amnesia</t>
  </si>
  <si>
    <t xml:space="preserve">G45.8</t>
  </si>
  <si>
    <t xml:space="preserve">Other transient cerebral ischemic attacks and related syndromes</t>
  </si>
  <si>
    <t xml:space="preserve">G45.9</t>
  </si>
  <si>
    <t xml:space="preserve">Transient cerebral ischemic attack, unspecified</t>
  </si>
  <si>
    <t xml:space="preserve">I60</t>
  </si>
  <si>
    <t xml:space="preserve">Nontraumatic subarachnoid hemorrhage</t>
  </si>
  <si>
    <t xml:space="preserve">I60.0</t>
  </si>
  <si>
    <t xml:space="preserve">Nontraumatic subarachnoid hemorrhage from carotid siphon and bifurcation</t>
  </si>
  <si>
    <t xml:space="preserve">I60.00</t>
  </si>
  <si>
    <t xml:space="preserve">Nontraumatic subarachnoid hemorrhage from unspecified carotid siphon and bifurcation</t>
  </si>
  <si>
    <t xml:space="preserve">I60.01</t>
  </si>
  <si>
    <t xml:space="preserve">Nontraumatic subarachnoid hemorrhage from right carotid siphon and bifurcation</t>
  </si>
  <si>
    <t xml:space="preserve">I60.02</t>
  </si>
  <si>
    <t xml:space="preserve">Nontraumatic subarachnoid hemorrhage from left carotid siphon and bifurcation</t>
  </si>
  <si>
    <t xml:space="preserve">I60.1</t>
  </si>
  <si>
    <t xml:space="preserve">Nontraumatic subarachnoid hemorrhage from middle cerebral artery</t>
  </si>
  <si>
    <t xml:space="preserve">I60.10</t>
  </si>
  <si>
    <t xml:space="preserve">Nontraumatic subarachnoid hemorrhage from unspecified middle cerebral artery</t>
  </si>
  <si>
    <t xml:space="preserve">I60.11</t>
  </si>
  <si>
    <t xml:space="preserve">Nontraumatic subarachnoid hemorrhage from right middle cerebral artery</t>
  </si>
  <si>
    <t xml:space="preserve">I60.12</t>
  </si>
  <si>
    <t xml:space="preserve">Nontraumatic subarachnoid hemorrhage from left middle cerebral artery</t>
  </si>
  <si>
    <t xml:space="preserve">I60.2</t>
  </si>
  <si>
    <t xml:space="preserve">Nontraumatic subarachnoid hemorrhage from anterior communicating artery</t>
  </si>
  <si>
    <t xml:space="preserve">I60.3</t>
  </si>
  <si>
    <t xml:space="preserve">Nontraumatic subarachnoid hemorrhage from posterior communicating artery</t>
  </si>
  <si>
    <t xml:space="preserve">I60.30</t>
  </si>
  <si>
    <t xml:space="preserve">Nontraumatic subarachnoid hemorrhage from unspecified posterior communicating artery</t>
  </si>
  <si>
    <t xml:space="preserve">I60.31</t>
  </si>
  <si>
    <t xml:space="preserve">Nontraumatic subarachnoid hemorrhage from right posterior communicating artery</t>
  </si>
  <si>
    <t xml:space="preserve">I60.32</t>
  </si>
  <si>
    <t xml:space="preserve">Nontraumatic subarachnoid hemorrhage from left posterior communicating artery</t>
  </si>
  <si>
    <t xml:space="preserve">I60.4</t>
  </si>
  <si>
    <t xml:space="preserve">Nontraumatic subarachnoid hemorrhage from basilar artery</t>
  </si>
  <si>
    <t xml:space="preserve">I60.5</t>
  </si>
  <si>
    <t xml:space="preserve">Nontraumatic subarachnoid hemorrhage from vertebral artery</t>
  </si>
  <si>
    <t xml:space="preserve">I60.50</t>
  </si>
  <si>
    <t xml:space="preserve">Nontraumatic subarachnoid hemorrhage from unspecified vertebral artery</t>
  </si>
  <si>
    <t xml:space="preserve">I60.51</t>
  </si>
  <si>
    <t xml:space="preserve">Nontraumatic subarachnoid hemorrhage from right vertebral artery</t>
  </si>
  <si>
    <t xml:space="preserve">I60.52</t>
  </si>
  <si>
    <t xml:space="preserve">Nontraumatic subarachnoid hemorrhage from left vertebral artery</t>
  </si>
  <si>
    <t xml:space="preserve">I60.6</t>
  </si>
  <si>
    <t xml:space="preserve">Nontraumatic subarachnoid hemorrhage from other intracranial arteries</t>
  </si>
  <si>
    <t xml:space="preserve">I60.7</t>
  </si>
  <si>
    <t xml:space="preserve">Nontraumatic subarachnoid hemorrhage from unspecified intracranial artery</t>
  </si>
  <si>
    <t xml:space="preserve">I60.8</t>
  </si>
  <si>
    <t xml:space="preserve">Other nontraumatic subarachnoid hemorrhage</t>
  </si>
  <si>
    <t xml:space="preserve">I60.9</t>
  </si>
  <si>
    <t xml:space="preserve">Nontraumatic subarachnoid hemorrhage, unspecified</t>
  </si>
  <si>
    <t xml:space="preserve">I61</t>
  </si>
  <si>
    <t xml:space="preserve">Nontraumatic intracerebral hemorrhage</t>
  </si>
  <si>
    <t xml:space="preserve">I61.0</t>
  </si>
  <si>
    <t xml:space="preserve">Nontraumatic intracerebral hemorrhage in hemisphere, subcortical</t>
  </si>
  <si>
    <t xml:space="preserve">I61.1</t>
  </si>
  <si>
    <t xml:space="preserve">Nontraumatic intracerebral hemorrhage in hemisphere, cortical</t>
  </si>
  <si>
    <t xml:space="preserve">I61.2</t>
  </si>
  <si>
    <t xml:space="preserve">Nontraumatic intracerebral hemorrhage in hemisphere, unspecified</t>
  </si>
  <si>
    <t xml:space="preserve">I61.3</t>
  </si>
  <si>
    <t xml:space="preserve">Nontraumatic intracerebral hemorrhage in brain stem</t>
  </si>
  <si>
    <t xml:space="preserve">I61.4</t>
  </si>
  <si>
    <t xml:space="preserve">Nontraumatic intracerebral hemorrhage in cerebellum</t>
  </si>
  <si>
    <t xml:space="preserve">I61.5</t>
  </si>
  <si>
    <t xml:space="preserve">Nontraumatic intracerebral hemorrhage, intraventricular</t>
  </si>
  <si>
    <t xml:space="preserve">I61.6</t>
  </si>
  <si>
    <t xml:space="preserve">Nontraumatic intracerebral hemorrhage, multiple localized</t>
  </si>
  <si>
    <t xml:space="preserve">I61.8</t>
  </si>
  <si>
    <t xml:space="preserve">Other nontraumatic intracerebral hemorrhage</t>
  </si>
  <si>
    <t xml:space="preserve">I61.9</t>
  </si>
  <si>
    <t xml:space="preserve">Nontraumatic intracerebral hemorrhage, unspecified</t>
  </si>
  <si>
    <t xml:space="preserve">I62</t>
  </si>
  <si>
    <t xml:space="preserve">Other and unspecified nontraumatic intracranial hemorrhage</t>
  </si>
  <si>
    <t xml:space="preserve">I62.0</t>
  </si>
  <si>
    <t xml:space="preserve">Nontraumatic subdural hemorrhage</t>
  </si>
  <si>
    <t xml:space="preserve">I62.00</t>
  </si>
  <si>
    <t xml:space="preserve">Nontraumatic subdural hemorrhage, unspecified</t>
  </si>
  <si>
    <t xml:space="preserve">I62.01</t>
  </si>
  <si>
    <t xml:space="preserve">Nontraumatic acute subdural hemorrhage</t>
  </si>
  <si>
    <t xml:space="preserve">I62.02</t>
  </si>
  <si>
    <t xml:space="preserve">Nontraumatic subacute subdural hemorrhage</t>
  </si>
  <si>
    <t xml:space="preserve">I62.03</t>
  </si>
  <si>
    <t xml:space="preserve">Nontraumatic chronic subdural hemorrhage</t>
  </si>
  <si>
    <t xml:space="preserve">I62.1</t>
  </si>
  <si>
    <t xml:space="preserve">Nontraumatic extradural hemorrhage</t>
  </si>
  <si>
    <t xml:space="preserve">I62.9</t>
  </si>
  <si>
    <t xml:space="preserve">Nontraumatic intracranial hemorrhage, unspecified</t>
  </si>
  <si>
    <t xml:space="preserve">I63</t>
  </si>
  <si>
    <t xml:space="preserve">Cerebral infarction</t>
  </si>
  <si>
    <t xml:space="preserve">I63.0</t>
  </si>
  <si>
    <t xml:space="preserve">Cerebral infarction due to thrombosis of precerebral arteries</t>
  </si>
  <si>
    <t xml:space="preserve">I63.00</t>
  </si>
  <si>
    <t xml:space="preserve">Cerebral infarction due to thrombosis of unspecified precerebral artery</t>
  </si>
  <si>
    <t xml:space="preserve">I63.01</t>
  </si>
  <si>
    <t xml:space="preserve">Cerebral infarction due to thrombosis of vertebral artery</t>
  </si>
  <si>
    <t xml:space="preserve">I63.011</t>
  </si>
  <si>
    <t xml:space="preserve">Cerebral infarction due to thrombosis of right vertebral artery</t>
  </si>
  <si>
    <t xml:space="preserve">I63.012</t>
  </si>
  <si>
    <t xml:space="preserve">Cerebral infarction due to thrombosis of left vertebral artery</t>
  </si>
  <si>
    <t xml:space="preserve">I63.013</t>
  </si>
  <si>
    <t xml:space="preserve">Cerebral infarction due to thrombosis of bilateral vertebral arteries</t>
  </si>
  <si>
    <t xml:space="preserve">I63.019</t>
  </si>
  <si>
    <t xml:space="preserve">Cerebral infarction due to thrombosis of unspecified vertebral artery</t>
  </si>
  <si>
    <t xml:space="preserve">I63.02</t>
  </si>
  <si>
    <t xml:space="preserve">Cerebral infarction due to thrombosis of basilar artery</t>
  </si>
  <si>
    <t xml:space="preserve">I63.03</t>
  </si>
  <si>
    <t xml:space="preserve">Cerebral infarction due to thrombosis of carotid artery</t>
  </si>
  <si>
    <t xml:space="preserve">I63.031</t>
  </si>
  <si>
    <t xml:space="preserve">Cerebral infarction due to thrombosis of right carotid artery</t>
  </si>
  <si>
    <t xml:space="preserve">I63.032</t>
  </si>
  <si>
    <t xml:space="preserve">Cerebral infarction due to thrombosis of left carotid artery</t>
  </si>
  <si>
    <t xml:space="preserve">I63.033</t>
  </si>
  <si>
    <t xml:space="preserve">Cerebral infarction due to thrombosis of bilateral carotid arteries</t>
  </si>
  <si>
    <t xml:space="preserve">I63.039</t>
  </si>
  <si>
    <t xml:space="preserve">Cerebral infarction due to thrombosis of unspecified carotid artery</t>
  </si>
  <si>
    <t xml:space="preserve">I63.09</t>
  </si>
  <si>
    <t xml:space="preserve">Cerebral infarction due to thrombosis of other precerebral artery</t>
  </si>
  <si>
    <t xml:space="preserve">I63.1</t>
  </si>
  <si>
    <t xml:space="preserve">Cerebral infarction due to embolism of precerebral arteries</t>
  </si>
  <si>
    <t xml:space="preserve">I63.10</t>
  </si>
  <si>
    <t xml:space="preserve">Cerebral infarction due to embolism of unspecified precerebral artery</t>
  </si>
  <si>
    <t xml:space="preserve">I63.11</t>
  </si>
  <si>
    <t xml:space="preserve">Cerebral infarction due to embolism of vertebral artery</t>
  </si>
  <si>
    <t xml:space="preserve">I63.111</t>
  </si>
  <si>
    <t xml:space="preserve">Cerebral infarction due to embolism of right vertebral artery</t>
  </si>
  <si>
    <t xml:space="preserve">I63.112</t>
  </si>
  <si>
    <t xml:space="preserve">Cerebral infarction due to embolism of left vertebral artery</t>
  </si>
  <si>
    <t xml:space="preserve">I63.113</t>
  </si>
  <si>
    <t xml:space="preserve">Cerebral infarction due to embolism of bilateral vertebral arteries</t>
  </si>
  <si>
    <t xml:space="preserve">I63.119</t>
  </si>
  <si>
    <t xml:space="preserve">Cerebral infarction due to embolism of unspecified vertebral artery</t>
  </si>
  <si>
    <t xml:space="preserve">I63.12</t>
  </si>
  <si>
    <t xml:space="preserve">Cerebral infarction due to embolism of basilar artery</t>
  </si>
  <si>
    <t xml:space="preserve">I63.13</t>
  </si>
  <si>
    <t xml:space="preserve">Cerebral infarction due to embolism of carotid artery</t>
  </si>
  <si>
    <t xml:space="preserve">I63.131</t>
  </si>
  <si>
    <t xml:space="preserve">Cerebral infarction due to embolism of right carotid artery</t>
  </si>
  <si>
    <t xml:space="preserve">I63.132</t>
  </si>
  <si>
    <t xml:space="preserve">Cerebral infarction due to embolism of left carotid artery</t>
  </si>
  <si>
    <t xml:space="preserve">I63.133</t>
  </si>
  <si>
    <t xml:space="preserve">Cerebral infarction due to embolism of bilateral carotid arteries</t>
  </si>
  <si>
    <t xml:space="preserve">I63.139</t>
  </si>
  <si>
    <t xml:space="preserve">Cerebral infarction due to embolism of unspecified carotid artery</t>
  </si>
  <si>
    <t xml:space="preserve">I63.19</t>
  </si>
  <si>
    <t xml:space="preserve">Cerebral infarction due to embolism of other precerebral artery</t>
  </si>
  <si>
    <t xml:space="preserve">I63.2</t>
  </si>
  <si>
    <t xml:space="preserve">Cerebral infarction due to unspecified occlusion or stenosis of precerebral arteries</t>
  </si>
  <si>
    <t xml:space="preserve">I63.20</t>
  </si>
  <si>
    <t xml:space="preserve">Cerebral infarction due to unspecified occlusion or stenosis of unspecified precerebral arteries</t>
  </si>
  <si>
    <t xml:space="preserve">I63.21</t>
  </si>
  <si>
    <t xml:space="preserve">Cerebral infarction due to unspecified occlusion or stenosis of vertebral arteries</t>
  </si>
  <si>
    <t xml:space="preserve">I63.211</t>
  </si>
  <si>
    <t xml:space="preserve">Cerebral infarction due to unspecified occlusion or stenosis of right vertebral artery</t>
  </si>
  <si>
    <t xml:space="preserve">I63.212</t>
  </si>
  <si>
    <t xml:space="preserve">Cerebral infarction due to unspecified occlusion or stenosis of left vertebral artery</t>
  </si>
  <si>
    <t xml:space="preserve">I63.213</t>
  </si>
  <si>
    <t xml:space="preserve">Cerebral infarction due to unspecified occlusion or stenosis of bilateral vertebral arteries</t>
  </si>
  <si>
    <t xml:space="preserve">I63.219</t>
  </si>
  <si>
    <t xml:space="preserve">Cerebral infarction due to unspecified occlusion or stenosis of unspecified vertebral artery</t>
  </si>
  <si>
    <t xml:space="preserve">I63.22</t>
  </si>
  <si>
    <t xml:space="preserve">Cerebral infarction due to unspecified occlusion or stenosis of basilar artery</t>
  </si>
  <si>
    <t xml:space="preserve">I63.23</t>
  </si>
  <si>
    <t xml:space="preserve">Cerebral infarction due to unspecified occlusion or stenosis of carotid arteries</t>
  </si>
  <si>
    <t xml:space="preserve">I63.231</t>
  </si>
  <si>
    <t xml:space="preserve">Cerebral infarction due to unspecified occlusion or stenosis of right carotid arteries</t>
  </si>
  <si>
    <t xml:space="preserve">I63.232</t>
  </si>
  <si>
    <t xml:space="preserve">Cerebral infarction due to unspecified occlusion or stenosis of left carotid arteries</t>
  </si>
  <si>
    <t xml:space="preserve">I63.233</t>
  </si>
  <si>
    <t xml:space="preserve">Cerebral infarction due to unspecified occlusion or stenosis of bilateral carotid arteries</t>
  </si>
  <si>
    <t xml:space="preserve">I63.239</t>
  </si>
  <si>
    <t xml:space="preserve">Cerebral infarction due to unspecified occlusion or stenosis of unspecified carotid artery</t>
  </si>
  <si>
    <t xml:space="preserve">I63.29</t>
  </si>
  <si>
    <t xml:space="preserve">Cerebral infarction due to unspecified occlusion or stenosis of other precerebral arteries</t>
  </si>
  <si>
    <t xml:space="preserve">I63.3</t>
  </si>
  <si>
    <t xml:space="preserve">Cerebral infarction due to thrombosis of cerebral arteries</t>
  </si>
  <si>
    <t xml:space="preserve">I63.30</t>
  </si>
  <si>
    <t xml:space="preserve">Cerebral infarction due to thrombosis of unspecified cerebral artery</t>
  </si>
  <si>
    <t xml:space="preserve">I63.31</t>
  </si>
  <si>
    <t xml:space="preserve">Cerebral infarction due to thrombosis of middle cerebral artery</t>
  </si>
  <si>
    <t xml:space="preserve">I63.311</t>
  </si>
  <si>
    <t xml:space="preserve">Cerebral infarction due to thrombosis of right middle cerebral artery</t>
  </si>
  <si>
    <t xml:space="preserve">I63.312</t>
  </si>
  <si>
    <t xml:space="preserve">Cerebral infarction due to thrombosis of left middle cerebral artery</t>
  </si>
  <si>
    <t xml:space="preserve">I63.313</t>
  </si>
  <si>
    <t xml:space="preserve">Cerebral infarction due to thrombosis of bilateral middle cerebral arteries</t>
  </si>
  <si>
    <t xml:space="preserve">I63.319</t>
  </si>
  <si>
    <t xml:space="preserve">Cerebral infarction due to thrombosis of unspecified middle cerebral artery</t>
  </si>
  <si>
    <t xml:space="preserve">I63.32</t>
  </si>
  <si>
    <t xml:space="preserve">Cerebral infarction due to thrombosis of anterior cerebral artery</t>
  </si>
  <si>
    <t xml:space="preserve">I63.321</t>
  </si>
  <si>
    <t xml:space="preserve">Cerebral infarction due to thrombosis of right anterior cerebral artery</t>
  </si>
  <si>
    <t xml:space="preserve">I63.322</t>
  </si>
  <si>
    <t xml:space="preserve">Cerebral infarction due to thrombosis of left anterior cerebral artery</t>
  </si>
  <si>
    <t xml:space="preserve">I63.323</t>
  </si>
  <si>
    <t xml:space="preserve">Cerebral infarction due to thrombosis of bilateral anterior cerebral arteries</t>
  </si>
  <si>
    <t xml:space="preserve">I63.329</t>
  </si>
  <si>
    <t xml:space="preserve">Cerebral infarction due to thrombosis of unspecified anterior cerebral artery</t>
  </si>
  <si>
    <t xml:space="preserve">I63.33</t>
  </si>
  <si>
    <t xml:space="preserve">Cerebral infarction due to thrombosis of posterior cerebral artery</t>
  </si>
  <si>
    <t xml:space="preserve">I63.331</t>
  </si>
  <si>
    <t xml:space="preserve">Cerebral infarction due to thrombosis of right posterior cerebral artery</t>
  </si>
  <si>
    <t xml:space="preserve">I63.332</t>
  </si>
  <si>
    <t xml:space="preserve">Cerebral infarction due to thrombosis of left posterior cerebral artery</t>
  </si>
  <si>
    <t xml:space="preserve">I63.333</t>
  </si>
  <si>
    <t xml:space="preserve">Cerebral infarction due to thrombosis of bilateral posterior cerebral arteries</t>
  </si>
  <si>
    <t xml:space="preserve">I63.339</t>
  </si>
  <si>
    <t xml:space="preserve">Cerebral infarction due to thrombosis of unspecified posterior cerebral artery</t>
  </si>
  <si>
    <t xml:space="preserve">I63.34</t>
  </si>
  <si>
    <t xml:space="preserve">Cerebral infarction due to thrombosis of cerebellar artery</t>
  </si>
  <si>
    <t xml:space="preserve">I63.341</t>
  </si>
  <si>
    <t xml:space="preserve">Cerebral infarction due to thrombosis of right cerebellar artery</t>
  </si>
  <si>
    <t xml:space="preserve">I63.342</t>
  </si>
  <si>
    <t xml:space="preserve">Cerebral infarction due to thrombosis of left cerebellar artery</t>
  </si>
  <si>
    <t xml:space="preserve">I63.343</t>
  </si>
  <si>
    <t xml:space="preserve">Cerebral infarction due to thrombosis of bilateral cerebellar arteries</t>
  </si>
  <si>
    <t xml:space="preserve">I63.349</t>
  </si>
  <si>
    <t xml:space="preserve">Cerebral infarction due to thrombosis of unspecified cerebellar artery</t>
  </si>
  <si>
    <t xml:space="preserve">I63.39</t>
  </si>
  <si>
    <t xml:space="preserve">Cerebral infarction due to thrombosis of other cerebral artery</t>
  </si>
  <si>
    <t xml:space="preserve">I63.4</t>
  </si>
  <si>
    <t xml:space="preserve">Cerebral infarction due to embolism of cerebral arteries</t>
  </si>
  <si>
    <t xml:space="preserve">I63.40</t>
  </si>
  <si>
    <t xml:space="preserve">Cerebral infarction due to embolism of unspecified cerebral artery</t>
  </si>
  <si>
    <t xml:space="preserve">I63.41</t>
  </si>
  <si>
    <t xml:space="preserve">Cerebral infarction due to embolism of middle cerebral artery</t>
  </si>
  <si>
    <t xml:space="preserve">I63.411</t>
  </si>
  <si>
    <t xml:space="preserve">Cerebral infarction due to embolism of right middle cerebral artery</t>
  </si>
  <si>
    <t xml:space="preserve">I63.412</t>
  </si>
  <si>
    <t xml:space="preserve">Cerebral infarction due to embolism of left middle cerebral artery</t>
  </si>
  <si>
    <t xml:space="preserve">I63.413</t>
  </si>
  <si>
    <t xml:space="preserve">Cerebral infarction due to embolism of bilateral middle cerebral arteries</t>
  </si>
  <si>
    <t xml:space="preserve">I63.419</t>
  </si>
  <si>
    <t xml:space="preserve">Cerebral infarction due to embolism of unspecified middle cerebral artery</t>
  </si>
  <si>
    <t xml:space="preserve">I63.42</t>
  </si>
  <si>
    <t xml:space="preserve">Cerebral infarction due to embolism of anterior cerebral artery</t>
  </si>
  <si>
    <t xml:space="preserve">I63.421</t>
  </si>
  <si>
    <t xml:space="preserve">Cerebral infarction due to embolism of right anterior cerebral artery</t>
  </si>
  <si>
    <t xml:space="preserve">I63.422</t>
  </si>
  <si>
    <t xml:space="preserve">Cerebral infarction due to embolism of left anterior cerebral artery</t>
  </si>
  <si>
    <t xml:space="preserve">I63.423</t>
  </si>
  <si>
    <t xml:space="preserve">Cerebral infarction due to embolism of bilateral anterior cerebral arteries</t>
  </si>
  <si>
    <t xml:space="preserve">I63.429</t>
  </si>
  <si>
    <t xml:space="preserve">Cerebral infarction due to embolism of unspecified anterior cerebral artery</t>
  </si>
  <si>
    <t xml:space="preserve">I63.43</t>
  </si>
  <si>
    <t xml:space="preserve">Cerebral infarction due to embolism of posterior cerebral artery</t>
  </si>
  <si>
    <t xml:space="preserve">I63.431</t>
  </si>
  <si>
    <t xml:space="preserve">Cerebral infarction due to embolism of right posterior cerebral artery</t>
  </si>
  <si>
    <t xml:space="preserve">I63.432</t>
  </si>
  <si>
    <t xml:space="preserve">Cerebral infarction due to embolism of left posterior cerebral artery</t>
  </si>
  <si>
    <t xml:space="preserve">I63.433</t>
  </si>
  <si>
    <t xml:space="preserve">Cerebral infarction due to embolism of bilateral posterior cerebral arteries</t>
  </si>
  <si>
    <t xml:space="preserve">I63.439</t>
  </si>
  <si>
    <t xml:space="preserve">Cerebral infarction due to embolism of unspecified posterior cerebral artery</t>
  </si>
  <si>
    <t xml:space="preserve">I63.44</t>
  </si>
  <si>
    <t xml:space="preserve">Cerebral infarction due to embolism of cerebellar artery</t>
  </si>
  <si>
    <t xml:space="preserve">I63.441</t>
  </si>
  <si>
    <t xml:space="preserve">Cerebral infarction due to embolism of right cerebellar artery</t>
  </si>
  <si>
    <t xml:space="preserve">I63.442</t>
  </si>
  <si>
    <t xml:space="preserve">Cerebral infarction due to embolism of left cerebellar artery</t>
  </si>
  <si>
    <t xml:space="preserve">I63.443</t>
  </si>
  <si>
    <t xml:space="preserve">Cerebral infarction due to embolism of bilateral cerebellar arteries</t>
  </si>
  <si>
    <t xml:space="preserve">I63.449</t>
  </si>
  <si>
    <t xml:space="preserve">Cerebral infarction due to embolism of unspecified cerebellar artery</t>
  </si>
  <si>
    <t xml:space="preserve">I63.49</t>
  </si>
  <si>
    <t xml:space="preserve">Cerebral infarction due to embolism of other cerebral artery</t>
  </si>
  <si>
    <t xml:space="preserve">I63.5</t>
  </si>
  <si>
    <t xml:space="preserve">Cerebral infarction due to unspecified occlusion or stenosis of cerebral arteries</t>
  </si>
  <si>
    <t xml:space="preserve">I63.50</t>
  </si>
  <si>
    <t xml:space="preserve">Cerebral infarction due to unspecified occlusion or stenosis of unspecified cerebral artery</t>
  </si>
  <si>
    <t xml:space="preserve">I63.51</t>
  </si>
  <si>
    <t xml:space="preserve">Cerebral infarction due to unspecified occlusion or stenosis of middle cerebral artery</t>
  </si>
  <si>
    <t xml:space="preserve">I63.511</t>
  </si>
  <si>
    <t xml:space="preserve">Cerebral infarction due to unspecified occlusion or stenosis of right middle cerebral artery</t>
  </si>
  <si>
    <t xml:space="preserve">I63.512</t>
  </si>
  <si>
    <t xml:space="preserve">Cerebral infarction due to unspecified occlusion or stenosis of left middle cerebral artery</t>
  </si>
  <si>
    <t xml:space="preserve">I63.513</t>
  </si>
  <si>
    <t xml:space="preserve">Cerebral infarction due to unspecified occlusion or stenosis of bilateral middle cerebral arteries</t>
  </si>
  <si>
    <t xml:space="preserve">I63.519</t>
  </si>
  <si>
    <t xml:space="preserve">Cerebral infarction due to unspecified occlusion or stenosis of unspecified middle cerebral artery</t>
  </si>
  <si>
    <t xml:space="preserve">I63.52</t>
  </si>
  <si>
    <t xml:space="preserve">Cerebral infarction due to unspecified occlusion or stenosis of anterior cerebral artery</t>
  </si>
  <si>
    <t xml:space="preserve">I63.521</t>
  </si>
  <si>
    <t xml:space="preserve">Cerebral infarction due to unspecified occlusion or stenosis of right anterior cerebral artery</t>
  </si>
  <si>
    <t xml:space="preserve">I63.522</t>
  </si>
  <si>
    <t xml:space="preserve">Cerebral infarction due to unspecified occlusion or stenosis of left anterior cerebral artery</t>
  </si>
  <si>
    <t xml:space="preserve">I63.523</t>
  </si>
  <si>
    <t xml:space="preserve">Cerebral infarction due to unspecified occlusion or stenosis of bilateral anterior cerebral arteries</t>
  </si>
  <si>
    <t xml:space="preserve">I63.529</t>
  </si>
  <si>
    <t xml:space="preserve">Cerebral infarction due to unspecified occlusion or stenosis of unspecified anterior cerebral artery</t>
  </si>
  <si>
    <t xml:space="preserve">I63.53</t>
  </si>
  <si>
    <t xml:space="preserve">Cerebral infarction due to unspecified occlusion or stenosis of posterior cerebral artery</t>
  </si>
  <si>
    <t xml:space="preserve">I63.531</t>
  </si>
  <si>
    <t xml:space="preserve">Cerebral infarction due to unspecified occlusion or stenosis of right posterior cerebral artery</t>
  </si>
  <si>
    <t xml:space="preserve">I63.532</t>
  </si>
  <si>
    <t xml:space="preserve">Cerebral infarction due to unspecified occlusion or stenosis of left posterior cerebral artery</t>
  </si>
  <si>
    <t xml:space="preserve">I63.533</t>
  </si>
  <si>
    <t xml:space="preserve">Cerebral infarction due to unspecified occlusion or stenosis of bilateral posterior cerebral arteries</t>
  </si>
  <si>
    <t xml:space="preserve">I63.539</t>
  </si>
  <si>
    <t xml:space="preserve">Cerebral infarction due to unspecified occlusion or stenosis of unspecified posterior cerebral artery</t>
  </si>
  <si>
    <t xml:space="preserve">I63.54</t>
  </si>
  <si>
    <t xml:space="preserve">Cerebral infarction due to unspecified occlusion or stenosis of cerebellar artery</t>
  </si>
  <si>
    <t xml:space="preserve">I63.541</t>
  </si>
  <si>
    <t xml:space="preserve">Cerebral infarction due to unspecified occlusion or stenosis of right cerebellar artery</t>
  </si>
  <si>
    <t xml:space="preserve">I63.542</t>
  </si>
  <si>
    <t xml:space="preserve">Cerebral infarction due to unspecified occlusion or stenosis of left cerebellar artery</t>
  </si>
  <si>
    <t xml:space="preserve">I63.543</t>
  </si>
  <si>
    <t xml:space="preserve">Cerebral infarction due to unspecified occlusion or stenosis of bilateral cerebellar arteries</t>
  </si>
  <si>
    <t xml:space="preserve">I63.549</t>
  </si>
  <si>
    <t xml:space="preserve">Cerebral infarction due to unspecified occlusion or stenosis of unspecified cerebellar artery</t>
  </si>
  <si>
    <t xml:space="preserve">I63.59</t>
  </si>
  <si>
    <t xml:space="preserve">Cerebral infarction due to unspecified occlusion or stenosis of other cerebral artery</t>
  </si>
  <si>
    <t xml:space="preserve">I63.6</t>
  </si>
  <si>
    <t xml:space="preserve">Cerebral infarction due to cerebral venous thrombosis, nonpyogenic</t>
  </si>
  <si>
    <t xml:space="preserve">I63.8</t>
  </si>
  <si>
    <t xml:space="preserve">Other cerebral infarction</t>
  </si>
  <si>
    <t xml:space="preserve">I63.81</t>
  </si>
  <si>
    <t xml:space="preserve">Other cerebral infarction due to occlusion or stenosis of small artery</t>
  </si>
  <si>
    <t xml:space="preserve">I63.89</t>
  </si>
  <si>
    <t xml:space="preserve">I63.9</t>
  </si>
  <si>
    <t xml:space="preserve">Cerebral infarction, unspecified</t>
  </si>
  <si>
    <t xml:space="preserve">Z86.73</t>
  </si>
  <si>
    <t xml:space="preserve">Personal history of transient ischemic attack (TIA), and cerebral infarction without residual deficits</t>
  </si>
  <si>
    <t xml:space="preserve">430</t>
  </si>
  <si>
    <t xml:space="preserve">Subarachnoid hemorrhage</t>
  </si>
  <si>
    <t xml:space="preserve">431</t>
  </si>
  <si>
    <t xml:space="preserve">Intracerebral hemorrhage</t>
  </si>
  <si>
    <t xml:space="preserve">432.0</t>
  </si>
  <si>
    <t xml:space="preserve">432.1</t>
  </si>
  <si>
    <t xml:space="preserve">Subdural hemorrhage</t>
  </si>
  <si>
    <t xml:space="preserve">432.9</t>
  </si>
  <si>
    <t xml:space="preserve">Unspecified intracranial hemorrhage</t>
  </si>
  <si>
    <t xml:space="preserve">433.00</t>
  </si>
  <si>
    <t xml:space="preserve">Occlusion and stenosis of basilar artery without mention of cerebral infarction</t>
  </si>
  <si>
    <t xml:space="preserve">433.01</t>
  </si>
  <si>
    <t xml:space="preserve">Occlusion and stenosis of basilar artery with cerebral infarction</t>
  </si>
  <si>
    <t xml:space="preserve">433.10</t>
  </si>
  <si>
    <t xml:space="preserve">Occlusion and stenosis of carotid artery without mention of cerebral infarction</t>
  </si>
  <si>
    <t xml:space="preserve">433.11</t>
  </si>
  <si>
    <t xml:space="preserve">Occlusion and stenosis of carotid artery with cerebral infarction</t>
  </si>
  <si>
    <t xml:space="preserve">433.20</t>
  </si>
  <si>
    <t xml:space="preserve">Occlusion and stenosis of vertebral artery without mention of cerebral infarction</t>
  </si>
  <si>
    <t xml:space="preserve">433.21</t>
  </si>
  <si>
    <t xml:space="preserve">Occlusion and stenosis of vertebral artery with cerebral infarction</t>
  </si>
  <si>
    <t xml:space="preserve">433.30</t>
  </si>
  <si>
    <t xml:space="preserve">Occlusion and stenosis of multiple and bilateral precerebral arteries without mention of cerebral infarction</t>
  </si>
  <si>
    <t xml:space="preserve">433.31</t>
  </si>
  <si>
    <t xml:space="preserve">Occlusion and stenosis of multiple and bilateral precerebral arteries with cerebral infarction</t>
  </si>
  <si>
    <t xml:space="preserve">433.80</t>
  </si>
  <si>
    <t xml:space="preserve">Occlusion and stenosis of other specified precerebral artery without mention of cerebral infarction</t>
  </si>
  <si>
    <t xml:space="preserve">433.81</t>
  </si>
  <si>
    <t xml:space="preserve">Occlusion and stenosis of other specified precerebral artery with cerebral infarction</t>
  </si>
  <si>
    <t xml:space="preserve">433.90</t>
  </si>
  <si>
    <t xml:space="preserve">Occlusion and stenosis of unspecified precerebral artery without mention of cerebral infarction</t>
  </si>
  <si>
    <t xml:space="preserve">433.91</t>
  </si>
  <si>
    <t xml:space="preserve">Occlusion and stenosis of unspecified precerebral artery with cerebral infarction</t>
  </si>
  <si>
    <t xml:space="preserve">434.00</t>
  </si>
  <si>
    <t xml:space="preserve">Cerebral thrombosis without mention of cerebral infarction</t>
  </si>
  <si>
    <t xml:space="preserve">434.01</t>
  </si>
  <si>
    <t xml:space="preserve">Cerebral thrombosis with cerebral infarction</t>
  </si>
  <si>
    <t xml:space="preserve">434.10</t>
  </si>
  <si>
    <t xml:space="preserve">Cerebral embolism without mention of cerebral infarction</t>
  </si>
  <si>
    <t xml:space="preserve">434.11</t>
  </si>
  <si>
    <t xml:space="preserve">Cerebral embolism with cerebral infarction</t>
  </si>
  <si>
    <t xml:space="preserve">434.90</t>
  </si>
  <si>
    <t xml:space="preserve">Cerebral artery occlusion, unspecified without mention of cerebral infarction</t>
  </si>
  <si>
    <t xml:space="preserve">434.91</t>
  </si>
  <si>
    <t xml:space="preserve">Cerebral artery occlusion, unspecified with cerebral infarction</t>
  </si>
  <si>
    <t xml:space="preserve">435.0</t>
  </si>
  <si>
    <t xml:space="preserve">Basilar artery syndrome</t>
  </si>
  <si>
    <t xml:space="preserve">435.1</t>
  </si>
  <si>
    <t xml:space="preserve">Vertebral artery syndrome</t>
  </si>
  <si>
    <t xml:space="preserve">435.2</t>
  </si>
  <si>
    <t xml:space="preserve">Subclavian steal syndrome</t>
  </si>
  <si>
    <t xml:space="preserve">435.3</t>
  </si>
  <si>
    <t xml:space="preserve">Vertebrobasilar artery syndrome</t>
  </si>
  <si>
    <t xml:space="preserve">435.8</t>
  </si>
  <si>
    <t xml:space="preserve">Other specified transient cerebral ischemias</t>
  </si>
  <si>
    <t xml:space="preserve">435.9</t>
  </si>
  <si>
    <t xml:space="preserve">Unspecified transient cerebral ischemia</t>
  </si>
  <si>
    <t xml:space="preserve">436</t>
  </si>
  <si>
    <t xml:space="preserve">Acute, but ill-defined, cerebrovascular disease</t>
  </si>
  <si>
    <t xml:space="preserve">V12.54</t>
  </si>
  <si>
    <t xml:space="preserve">Angina</t>
  </si>
  <si>
    <t xml:space="preserve">I20</t>
  </si>
  <si>
    <t xml:space="preserve">Angina pectoris</t>
  </si>
  <si>
    <t xml:space="preserve">I20.0</t>
  </si>
  <si>
    <t xml:space="preserve">Unstable angina</t>
  </si>
  <si>
    <t xml:space="preserve">I20.1</t>
  </si>
  <si>
    <t xml:space="preserve">Angina pectoris with documented spasm</t>
  </si>
  <si>
    <t xml:space="preserve">I20.2</t>
  </si>
  <si>
    <t xml:space="preserve">Refractory angina pectoris</t>
  </si>
  <si>
    <t xml:space="preserve">I20.8</t>
  </si>
  <si>
    <t xml:space="preserve">Other forms of angina pectoris</t>
  </si>
  <si>
    <t xml:space="preserve">I20.81</t>
  </si>
  <si>
    <t xml:space="preserve">Angina pectoris with coronary microvascular dysfunction</t>
  </si>
  <si>
    <t xml:space="preserve">I20.89</t>
  </si>
  <si>
    <t xml:space="preserve">I20.9</t>
  </si>
  <si>
    <t xml:space="preserve">Angina pectoris, unspecified</t>
  </si>
  <si>
    <t xml:space="preserve">413.0</t>
  </si>
  <si>
    <t xml:space="preserve">Angina decubitus</t>
  </si>
  <si>
    <t xml:space="preserve">413.1</t>
  </si>
  <si>
    <t xml:space="preserve">Prinzmetal angina</t>
  </si>
  <si>
    <t xml:space="preserve">413.9</t>
  </si>
  <si>
    <t xml:space="preserve">Other and unspecified angina pectoris</t>
  </si>
  <si>
    <t xml:space="preserve">Heart Failure</t>
  </si>
  <si>
    <t xml:space="preserve">I11.0</t>
  </si>
  <si>
    <t xml:space="preserve">Hypertensive heart disease with heart failure</t>
  </si>
  <si>
    <t xml:space="preserve">I13.0</t>
  </si>
  <si>
    <t xml:space="preserve">Hypertensive heart and chronic kidney disease with heart failure and stage 1 through stage 4 chronic kidney disease, or unspecified chronic kidney disease</t>
  </si>
  <si>
    <t xml:space="preserve">I13.2</t>
  </si>
  <si>
    <t xml:space="preserve">Hypertensive heart and chronic kidney disease with heart failure and with stage 5 chronic kidney disease, or end stage renal disease</t>
  </si>
  <si>
    <t xml:space="preserve">I50</t>
  </si>
  <si>
    <t xml:space="preserve">Heart failure</t>
  </si>
  <si>
    <t xml:space="preserve">I50.1</t>
  </si>
  <si>
    <t xml:space="preserve">Left ventricular failure, unspecified</t>
  </si>
  <si>
    <t xml:space="preserve">I50.2</t>
  </si>
  <si>
    <t xml:space="preserve">Systolic (congestive) heart failure</t>
  </si>
  <si>
    <t xml:space="preserve">I50.20</t>
  </si>
  <si>
    <t xml:space="preserve">Unspecified systolic (congestive) heart failure</t>
  </si>
  <si>
    <t xml:space="preserve">I50.21</t>
  </si>
  <si>
    <t xml:space="preserve">Acute systolic (congestive) heart failure</t>
  </si>
  <si>
    <t xml:space="preserve">I50.22</t>
  </si>
  <si>
    <t xml:space="preserve">Chronic systolic (congestive) heart failure</t>
  </si>
  <si>
    <t xml:space="preserve">I50.23</t>
  </si>
  <si>
    <t xml:space="preserve">Acute on chronic systolic (congestive) heart failure</t>
  </si>
  <si>
    <t xml:space="preserve">I50.3</t>
  </si>
  <si>
    <t xml:space="preserve">Diastolic (congestive) heart failure</t>
  </si>
  <si>
    <t xml:space="preserve">I50.30</t>
  </si>
  <si>
    <t xml:space="preserve">Unspecified diastolic (congestive) heart failure</t>
  </si>
  <si>
    <t xml:space="preserve">I50.31</t>
  </si>
  <si>
    <t xml:space="preserve">Acute diastolic (congestive) heart failure</t>
  </si>
  <si>
    <t xml:space="preserve">I50.32</t>
  </si>
  <si>
    <t xml:space="preserve">Chronic diastolic (congestive) heart failure</t>
  </si>
  <si>
    <t xml:space="preserve">I50.33</t>
  </si>
  <si>
    <t xml:space="preserve">Acute on chronic diastolic (congestive) heart failure</t>
  </si>
  <si>
    <t xml:space="preserve">I50.4</t>
  </si>
  <si>
    <t xml:space="preserve">Combined systolic (congestive) and diastolic (congestive) heart failure</t>
  </si>
  <si>
    <t xml:space="preserve">I50.40</t>
  </si>
  <si>
    <t xml:space="preserve">Unspecified combined systolic (congestive) and diastolic (congestive) heart failure</t>
  </si>
  <si>
    <t xml:space="preserve">I50.41</t>
  </si>
  <si>
    <t xml:space="preserve">Acute combined systolic (congestive) and diastolic (congestive) heart failure</t>
  </si>
  <si>
    <t xml:space="preserve">I50.42</t>
  </si>
  <si>
    <t xml:space="preserve">Chronic combined systolic (congestive) and diastolic (congestive) heart failure</t>
  </si>
  <si>
    <t xml:space="preserve">I50.43</t>
  </si>
  <si>
    <t xml:space="preserve">Acute on chronic combined systolic (congestive) and diastolic (congestive) heart failure</t>
  </si>
  <si>
    <t xml:space="preserve">I50.8</t>
  </si>
  <si>
    <t xml:space="preserve">Other heart failure</t>
  </si>
  <si>
    <t xml:space="preserve">I50.81</t>
  </si>
  <si>
    <t xml:space="preserve">Right heart failure</t>
  </si>
  <si>
    <t xml:space="preserve">I50.810</t>
  </si>
  <si>
    <t xml:space="preserve">Right heart failure, unspecified</t>
  </si>
  <si>
    <t xml:space="preserve">I50.811</t>
  </si>
  <si>
    <t xml:space="preserve">Acute right heart failure</t>
  </si>
  <si>
    <t xml:space="preserve">I50.812</t>
  </si>
  <si>
    <t xml:space="preserve">Chronic right heart failure</t>
  </si>
  <si>
    <t xml:space="preserve">I50.813</t>
  </si>
  <si>
    <t xml:space="preserve">Acute on chronic right heart failure</t>
  </si>
  <si>
    <t xml:space="preserve">I50.814</t>
  </si>
  <si>
    <t xml:space="preserve">Right heart failure due to left heart failure</t>
  </si>
  <si>
    <t xml:space="preserve">I50.82</t>
  </si>
  <si>
    <t xml:space="preserve">Biventricular heart failure</t>
  </si>
  <si>
    <t xml:space="preserve">I50.83</t>
  </si>
  <si>
    <t xml:space="preserve">High output heart failure</t>
  </si>
  <si>
    <t xml:space="preserve">I50.84</t>
  </si>
  <si>
    <t xml:space="preserve">End stage heart failure</t>
  </si>
  <si>
    <t xml:space="preserve">I50.89</t>
  </si>
  <si>
    <t xml:space="preserve">I50.9</t>
  </si>
  <si>
    <t xml:space="preserve">Heart failure, unspecified</t>
  </si>
  <si>
    <t xml:space="preserve">428.0</t>
  </si>
  <si>
    <t xml:space="preserve">Congestive heart failure, unspecified</t>
  </si>
  <si>
    <t xml:space="preserve">428.1</t>
  </si>
  <si>
    <t xml:space="preserve">Left heart failure</t>
  </si>
  <si>
    <t xml:space="preserve">428.20</t>
  </si>
  <si>
    <t xml:space="preserve">Systolic heart failure, unspecified</t>
  </si>
  <si>
    <t xml:space="preserve">428.21</t>
  </si>
  <si>
    <t xml:space="preserve">Acute systolic heart failure</t>
  </si>
  <si>
    <t xml:space="preserve">428.22</t>
  </si>
  <si>
    <t xml:space="preserve">Chronic systolic heart failure</t>
  </si>
  <si>
    <t xml:space="preserve">428.23</t>
  </si>
  <si>
    <t xml:space="preserve">Acute on chronic systolic heart failure</t>
  </si>
  <si>
    <t xml:space="preserve">428.30</t>
  </si>
  <si>
    <t xml:space="preserve">Diastolic heart failure, unspecified</t>
  </si>
  <si>
    <t xml:space="preserve">428.31</t>
  </si>
  <si>
    <t xml:space="preserve">Acute diastolic heart failure</t>
  </si>
  <si>
    <t xml:space="preserve">428.32</t>
  </si>
  <si>
    <t xml:space="preserve">Chronic diastolic heart failure</t>
  </si>
  <si>
    <t xml:space="preserve">428.33</t>
  </si>
  <si>
    <t xml:space="preserve">Acute on chronic diastolic heart failure</t>
  </si>
  <si>
    <t xml:space="preserve">428.40</t>
  </si>
  <si>
    <t xml:space="preserve">Combined systolic and diastolic heart failure, unspecified</t>
  </si>
  <si>
    <t xml:space="preserve">428.41</t>
  </si>
  <si>
    <t xml:space="preserve">Acute combined systolic and diastolic heart failure</t>
  </si>
  <si>
    <t xml:space="preserve">428.42</t>
  </si>
  <si>
    <t xml:space="preserve">Chronic combined systolic and diastolic heart failure</t>
  </si>
  <si>
    <t xml:space="preserve">428.43</t>
  </si>
  <si>
    <t xml:space="preserve">Acute on chronic combined systolic and diastolic heart failure</t>
  </si>
  <si>
    <t xml:space="preserve">428.9</t>
  </si>
  <si>
    <t xml:space="preserve">Atrial Fibrillation</t>
  </si>
  <si>
    <t xml:space="preserve">I48</t>
  </si>
  <si>
    <t xml:space="preserve">Atrial fibrillation and flutter</t>
  </si>
  <si>
    <t xml:space="preserve">I48.0</t>
  </si>
  <si>
    <t xml:space="preserve">Paroxysmal atrial fibrillation</t>
  </si>
  <si>
    <t xml:space="preserve">I48.1</t>
  </si>
  <si>
    <t xml:space="preserve">Persistent atrial fibrillation</t>
  </si>
  <si>
    <t xml:space="preserve">I48.11</t>
  </si>
  <si>
    <t xml:space="preserve">Longstanding persistent atrial fibrillation</t>
  </si>
  <si>
    <t xml:space="preserve">I48.19</t>
  </si>
  <si>
    <t xml:space="preserve">Other persistent atrial fibrillation</t>
  </si>
  <si>
    <t xml:space="preserve">I48.2</t>
  </si>
  <si>
    <t xml:space="preserve">Chronic atrial fibrillation</t>
  </si>
  <si>
    <t xml:space="preserve">I48.20</t>
  </si>
  <si>
    <t xml:space="preserve">Chronic atrial fibrillation, unspecified</t>
  </si>
  <si>
    <t xml:space="preserve">I48.21</t>
  </si>
  <si>
    <t xml:space="preserve">Permanent atrial fibrillation</t>
  </si>
  <si>
    <t xml:space="preserve">I48.3</t>
  </si>
  <si>
    <t xml:space="preserve">Typical atrial flutter</t>
  </si>
  <si>
    <t xml:space="preserve">I48.4</t>
  </si>
  <si>
    <t xml:space="preserve">Atypical atrial flutter</t>
  </si>
  <si>
    <t xml:space="preserve">I48.9</t>
  </si>
  <si>
    <t xml:space="preserve">Unspecified atrial fibrillation and atrial flutter</t>
  </si>
  <si>
    <t xml:space="preserve">I48.91</t>
  </si>
  <si>
    <t xml:space="preserve">Unspecified atrial fibrillation</t>
  </si>
  <si>
    <t xml:space="preserve">I48.92</t>
  </si>
  <si>
    <t xml:space="preserve">Unspecified atrial flutter</t>
  </si>
  <si>
    <t xml:space="preserve">427.31</t>
  </si>
  <si>
    <t xml:space="preserve">Atrial fibrillation</t>
  </si>
  <si>
    <t xml:space="preserve">427.32</t>
  </si>
  <si>
    <t xml:space="preserve">Atrial flutter</t>
  </si>
  <si>
    <t xml:space="preserve">Family History CAD</t>
  </si>
  <si>
    <t xml:space="preserve">Z82.49</t>
  </si>
  <si>
    <t xml:space="preserve">Family history of ischemic heart disease and other diseases of the circulatory system</t>
  </si>
  <si>
    <t xml:space="preserve">V17.3</t>
  </si>
  <si>
    <t xml:space="preserve">Family history of ischemic heart disease</t>
  </si>
  <si>
    <t xml:space="preserve">Hypertension diagnosis</t>
  </si>
  <si>
    <t xml:space="preserve">I10</t>
  </si>
  <si>
    <t xml:space="preserve">Essential (primary) hypertension</t>
  </si>
  <si>
    <t xml:space="preserve">I11</t>
  </si>
  <si>
    <t xml:space="preserve">Hypertensive heart disease</t>
  </si>
  <si>
    <t xml:space="preserve">I11.9</t>
  </si>
  <si>
    <t xml:space="preserve">Hypertensive heart disease without heart failure</t>
  </si>
  <si>
    <t xml:space="preserve">I12</t>
  </si>
  <si>
    <t xml:space="preserve">Hypertensive chronic kidney disease</t>
  </si>
  <si>
    <t xml:space="preserve">I12.0</t>
  </si>
  <si>
    <t xml:space="preserve">Hypertensive chronic kidney disease with stage 5 chronic kidney disease or end stage renal disease</t>
  </si>
  <si>
    <t xml:space="preserve">I12.9</t>
  </si>
  <si>
    <t xml:space="preserve">Hypertensive chronic kidney disease with stage 1 through stage 4 chronic kidney disease, or unspecified chronic kidney disease</t>
  </si>
  <si>
    <t xml:space="preserve">I13</t>
  </si>
  <si>
    <t xml:space="preserve">Hypertensive heart and chronic kidney disease</t>
  </si>
  <si>
    <t xml:space="preserve">I13.1</t>
  </si>
  <si>
    <t xml:space="preserve">Hypertensive heart and chronic kidney disease without heart failure</t>
  </si>
  <si>
    <t xml:space="preserve">I13.10</t>
  </si>
  <si>
    <t xml:space="preserve">Hypertensive heart and chronic kidney disease without heart failure, with stage 1 through stage 4 chronic kidney disease, or unspecified chronic kidney disease</t>
  </si>
  <si>
    <t xml:space="preserve">I13.11</t>
  </si>
  <si>
    <t xml:space="preserve">Hypertensive heart and chronic kidney disease without heart failure, with stage 5 chronic kidney disease, or end stage renal disease</t>
  </si>
  <si>
    <t xml:space="preserve">I15</t>
  </si>
  <si>
    <t xml:space="preserve">Secondary hypertension</t>
  </si>
  <si>
    <t xml:space="preserve">I15.0</t>
  </si>
  <si>
    <t xml:space="preserve">Renovascular hypertension</t>
  </si>
  <si>
    <t xml:space="preserve">I15.1</t>
  </si>
  <si>
    <t xml:space="preserve">Hypertension secondary to other renal disorders</t>
  </si>
  <si>
    <t xml:space="preserve">I15.2</t>
  </si>
  <si>
    <t xml:space="preserve">Hypertension secondary to endocrine disorders</t>
  </si>
  <si>
    <t xml:space="preserve">I15.8</t>
  </si>
  <si>
    <t xml:space="preserve">Other secondary hypertension</t>
  </si>
  <si>
    <t xml:space="preserve">I15.9</t>
  </si>
  <si>
    <t xml:space="preserve">Secondary hypertension, unspecified</t>
  </si>
  <si>
    <t xml:space="preserve">I16</t>
  </si>
  <si>
    <t xml:space="preserve">Hypertensive crisis</t>
  </si>
  <si>
    <t xml:space="preserve">I16.0</t>
  </si>
  <si>
    <t xml:space="preserve">Hypertensive urgency</t>
  </si>
  <si>
    <t xml:space="preserve">I16.1</t>
  </si>
  <si>
    <t xml:space="preserve">Hypertensive emergency</t>
  </si>
  <si>
    <t xml:space="preserve">I16.9</t>
  </si>
  <si>
    <t xml:space="preserve">Hypertensive crisis, unspecified</t>
  </si>
  <si>
    <t xml:space="preserve">401.0</t>
  </si>
  <si>
    <t xml:space="preserve">Malignant essential hypertension</t>
  </si>
  <si>
    <t xml:space="preserve">401.1</t>
  </si>
  <si>
    <t xml:space="preserve">Benign essential hypertension</t>
  </si>
  <si>
    <t xml:space="preserve">401.9</t>
  </si>
  <si>
    <t xml:space="preserve">Unspecified essential hypertension</t>
  </si>
  <si>
    <t xml:space="preserve">402.00</t>
  </si>
  <si>
    <t xml:space="preserve">Malignant hypertensive heart disease without heart failure</t>
  </si>
  <si>
    <t xml:space="preserve">402.01</t>
  </si>
  <si>
    <t xml:space="preserve">Malignant hypertensive heart disease with heart failure</t>
  </si>
  <si>
    <t xml:space="preserve">402.10</t>
  </si>
  <si>
    <t xml:space="preserve">Benign hypertensive heart disease without heart failure</t>
  </si>
  <si>
    <t xml:space="preserve">402.11</t>
  </si>
  <si>
    <t xml:space="preserve">Benign hypertensive heart disease with heart failure</t>
  </si>
  <si>
    <t xml:space="preserve">402.90</t>
  </si>
  <si>
    <t xml:space="preserve">Unspecified hypertensive heart disease without heart failure</t>
  </si>
  <si>
    <t xml:space="preserve">402.91</t>
  </si>
  <si>
    <t xml:space="preserve">Unspecified hypertensive heart disease with heart failure</t>
  </si>
  <si>
    <t xml:space="preserve">403.00</t>
  </si>
  <si>
    <t xml:space="preserve">Hypertensive chronic kidney disease, malignant, with chronic kidney disease stage I through stage IV, or unspecified</t>
  </si>
  <si>
    <t xml:space="preserve">403.01</t>
  </si>
  <si>
    <t xml:space="preserve">Hypertensive chronic kidney disease, malignant, with chronic kidney disease stage V or end stage renal disease</t>
  </si>
  <si>
    <t xml:space="preserve">403.10</t>
  </si>
  <si>
    <t xml:space="preserve">Hypertensive chronic kidney disease, benign, with chronic kidney disease stage I through stage IV, or unspecified</t>
  </si>
  <si>
    <t xml:space="preserve">403.11</t>
  </si>
  <si>
    <t xml:space="preserve">Hypertensive chronic kidney disease, benign, with chronic kidney disease stage V or end stage renal disease</t>
  </si>
  <si>
    <t xml:space="preserve">403.90</t>
  </si>
  <si>
    <t xml:space="preserve">Hypertensive chronic kidney disease, unspecified, with chronic kidney disease stage I through stage IV, or unspecified</t>
  </si>
  <si>
    <t xml:space="preserve">403.91</t>
  </si>
  <si>
    <t xml:space="preserve">Hypertensive chronic kidney disease, unspecified, with chronic kidney disease stage V or end stage renal disease</t>
  </si>
  <si>
    <t xml:space="preserve">404.00</t>
  </si>
  <si>
    <t xml:space="preserve">Hypertensive heart and chronic kidney disease, malignant, without heart failure and with chronic kidney disease stage I through stage IV, or unspecified</t>
  </si>
  <si>
    <t xml:space="preserve">404.01</t>
  </si>
  <si>
    <t xml:space="preserve">Hypertensive heart and chronic kidney disease, malignant, with heart failure and with chronic kidney disease stage I through stage IV, or unspecified</t>
  </si>
  <si>
    <t xml:space="preserve">404.02</t>
  </si>
  <si>
    <t xml:space="preserve">Hypertensive heart and chronic kidney disease, malignant, without heart failure and with chronic kidney disease stage V or end stage renal disease</t>
  </si>
  <si>
    <t xml:space="preserve">404.03</t>
  </si>
  <si>
    <t xml:space="preserve">Hypertensive heart and chronic kidney disease, malignant, with heart failure and with chronic kidney disease stage V or end stage renal disease</t>
  </si>
  <si>
    <t xml:space="preserve">404.10</t>
  </si>
  <si>
    <t xml:space="preserve">Hypertensive heart and chronic kidney disease, benign, without heart failure and with chronic kidney disease stage I through stage IV, or unspecified</t>
  </si>
  <si>
    <t xml:space="preserve">404.11</t>
  </si>
  <si>
    <t xml:space="preserve">Hypertensive heart and chronic kidney disease, benign, with heart failure and with chronic kidney disease stage I through stage IV, or unspecified</t>
  </si>
  <si>
    <t xml:space="preserve">404.12</t>
  </si>
  <si>
    <t xml:space="preserve">Hypertensive heart and chronic kidney disease, benign, without heart failure and with chronic kidney disease stage V or end stage renal disease</t>
  </si>
  <si>
    <t xml:space="preserve">404.13</t>
  </si>
  <si>
    <t xml:space="preserve">Hypertensive heart and chronic kidney disease, benign, with heart failure and chronic kidney disease stage V or end stage renal disease</t>
  </si>
  <si>
    <t xml:space="preserve">404.90</t>
  </si>
  <si>
    <t xml:space="preserve">Hypertensive heart and chronic kidney disease, unspecified, without heart failure and with chronic kidney disease stage I through stage IV, or unspecified</t>
  </si>
  <si>
    <t xml:space="preserve">404.91</t>
  </si>
  <si>
    <t xml:space="preserve">Hypertensive heart and chronic kidney disease, unspecified, with heart failure and with chronic kidney disease stage I through stage IV, or unspecified</t>
  </si>
  <si>
    <t xml:space="preserve">404.92</t>
  </si>
  <si>
    <t xml:space="preserve">Hypertensive heart and chronic kidney disease, unspecified, without heart failure and with chronic kidney disease stage V or end stage renal disease</t>
  </si>
  <si>
    <t xml:space="preserve">404.93</t>
  </si>
  <si>
    <t xml:space="preserve">Hypertensive heart and chronic kidney disease, unspecified, with heart failure and chronic kidney disease stage V or end stage renal disease</t>
  </si>
  <si>
    <t xml:space="preserve">405.01</t>
  </si>
  <si>
    <t xml:space="preserve">Malignant renovascular hypertension</t>
  </si>
  <si>
    <t xml:space="preserve">405.09</t>
  </si>
  <si>
    <t xml:space="preserve">Other malignant secondary hypertension</t>
  </si>
  <si>
    <t xml:space="preserve">405.11</t>
  </si>
  <si>
    <t xml:space="preserve">Benign renovascular hypertension</t>
  </si>
  <si>
    <t xml:space="preserve">405.19</t>
  </si>
  <si>
    <t xml:space="preserve">Other benign secondary hypertension</t>
  </si>
  <si>
    <t xml:space="preserve">405.91</t>
  </si>
  <si>
    <t xml:space="preserve">Unspecified renovascular hypertension</t>
  </si>
  <si>
    <t xml:space="preserve">405.99</t>
  </si>
  <si>
    <t xml:space="preserve">Other unspecified secondary hypertension</t>
  </si>
  <si>
    <t xml:space="preserve">Peripheral artery disease</t>
  </si>
  <si>
    <t xml:space="preserve">I70.2</t>
  </si>
  <si>
    <t xml:space="preserve">Atherosclerosis of native arteries of the extremities</t>
  </si>
  <si>
    <t xml:space="preserve">I70.20</t>
  </si>
  <si>
    <t xml:space="preserve">Unspecified atherosclerosis of native arteries of extremities</t>
  </si>
  <si>
    <t xml:space="preserve">I70.201</t>
  </si>
  <si>
    <t xml:space="preserve">Unspecified atherosclerosis of native arteries of extremities, right leg</t>
  </si>
  <si>
    <t xml:space="preserve">I70.202</t>
  </si>
  <si>
    <t xml:space="preserve">Unspecified atherosclerosis of native arteries of extremities, left leg</t>
  </si>
  <si>
    <t xml:space="preserve">I70.203</t>
  </si>
  <si>
    <t xml:space="preserve">Unspecified atherosclerosis of native arteries of extremities, bilateral legs</t>
  </si>
  <si>
    <t xml:space="preserve">I70.208</t>
  </si>
  <si>
    <t xml:space="preserve">Unspecified atherosclerosis of native arteries of extremities, other extremity</t>
  </si>
  <si>
    <t xml:space="preserve">I70.209</t>
  </si>
  <si>
    <t xml:space="preserve">Unspecified atherosclerosis of native arteries of extremities, unspecified extremity</t>
  </si>
  <si>
    <t xml:space="preserve">I70.21</t>
  </si>
  <si>
    <t xml:space="preserve">Atherosclerosis of native arteries of extremities with intermittent claudication</t>
  </si>
  <si>
    <t xml:space="preserve">I70.211</t>
  </si>
  <si>
    <t xml:space="preserve">Atherosclerosis of native arteries of extremities with intermittent claudication, right leg</t>
  </si>
  <si>
    <t xml:space="preserve">I70.212</t>
  </si>
  <si>
    <t xml:space="preserve">Atherosclerosis of native arteries of extremities with intermittent claudication, left leg</t>
  </si>
  <si>
    <t xml:space="preserve">I70.213</t>
  </si>
  <si>
    <t xml:space="preserve">Atherosclerosis of native arteries of extremities with intermittent claudication, bilateral legs</t>
  </si>
  <si>
    <t xml:space="preserve">I70.218</t>
  </si>
  <si>
    <t xml:space="preserve">Atherosclerosis of native arteries of extremities with intermittent claudication, other extremity</t>
  </si>
  <si>
    <t xml:space="preserve">I70.219</t>
  </si>
  <si>
    <t xml:space="preserve">Atherosclerosis of native arteries of extremities with intermittent claudication, unspecified extremity</t>
  </si>
  <si>
    <t xml:space="preserve">I70.22</t>
  </si>
  <si>
    <t xml:space="preserve">Atherosclerosis of native arteries of extremities with rest pain</t>
  </si>
  <si>
    <t xml:space="preserve">I70.221</t>
  </si>
  <si>
    <t xml:space="preserve">Atherosclerosis of native arteries of extremities with rest pain, right leg</t>
  </si>
  <si>
    <t xml:space="preserve">I70.222</t>
  </si>
  <si>
    <t xml:space="preserve">Atherosclerosis of native arteries of extremities with rest pain, left leg</t>
  </si>
  <si>
    <t xml:space="preserve">I70.223</t>
  </si>
  <si>
    <t xml:space="preserve">Atherosclerosis of native arteries of extremities with rest pain, bilateral legs</t>
  </si>
  <si>
    <t xml:space="preserve">I70.228</t>
  </si>
  <si>
    <t xml:space="preserve">Atherosclerosis of native arteries of extremities with rest pain, other extremity</t>
  </si>
  <si>
    <t xml:space="preserve">I70.229</t>
  </si>
  <si>
    <t xml:space="preserve">Atherosclerosis of native arteries of extremities with rest pain, unspecified extremity</t>
  </si>
  <si>
    <t xml:space="preserve">I70.23</t>
  </si>
  <si>
    <t xml:space="preserve">Atherosclerosis of native arteries of right leg with ulceration</t>
  </si>
  <si>
    <t xml:space="preserve">I70.231</t>
  </si>
  <si>
    <t xml:space="preserve">Atherosclerosis of native arteries of right leg with ulceration of thigh</t>
  </si>
  <si>
    <t xml:space="preserve">I70.232</t>
  </si>
  <si>
    <t xml:space="preserve">Atherosclerosis of native arteries of right leg with ulceration of calf</t>
  </si>
  <si>
    <t xml:space="preserve">I70.233</t>
  </si>
  <si>
    <t xml:space="preserve">Atherosclerosis of native arteries of right leg with ulceration of ankle</t>
  </si>
  <si>
    <t xml:space="preserve">I70.234</t>
  </si>
  <si>
    <t xml:space="preserve">Atherosclerosis of native arteries of right leg with ulceration of heel and midfoot</t>
  </si>
  <si>
    <t xml:space="preserve">I70.235</t>
  </si>
  <si>
    <t xml:space="preserve">Atherosclerosis of native arteries of right leg with ulceration of other part of foot</t>
  </si>
  <si>
    <t xml:space="preserve">I70.238</t>
  </si>
  <si>
    <t xml:space="preserve">Atherosclerosis of native arteries of right leg with ulceration of other part of lower leg</t>
  </si>
  <si>
    <t xml:space="preserve">I70.239</t>
  </si>
  <si>
    <t xml:space="preserve">Atherosclerosis of native arteries of right leg with ulceration of unspecified site</t>
  </si>
  <si>
    <t xml:space="preserve">I70.24</t>
  </si>
  <si>
    <t xml:space="preserve">Atherosclerosis of native arteries of left leg with ulceration</t>
  </si>
  <si>
    <t xml:space="preserve">I70.241</t>
  </si>
  <si>
    <t xml:space="preserve">Atherosclerosis of native arteries of left leg with ulceration of thigh</t>
  </si>
  <si>
    <t xml:space="preserve">I70.242</t>
  </si>
  <si>
    <t xml:space="preserve">Atherosclerosis of native arteries of left leg with ulceration of calf</t>
  </si>
  <si>
    <t xml:space="preserve">I70.243</t>
  </si>
  <si>
    <t xml:space="preserve">Atherosclerosis of native arteries of left leg with ulceration of ankle</t>
  </si>
  <si>
    <t xml:space="preserve">I70.244</t>
  </si>
  <si>
    <t xml:space="preserve">Atherosclerosis of native arteries of left leg with ulceration of heel and midfoot</t>
  </si>
  <si>
    <t xml:space="preserve">I70.245</t>
  </si>
  <si>
    <t xml:space="preserve">Atherosclerosis of native arteries of left leg with ulceration of other part of foot</t>
  </si>
  <si>
    <t xml:space="preserve">I70.248</t>
  </si>
  <si>
    <t xml:space="preserve">Atherosclerosis of native arteries of left leg with ulceration of other part of lower leg</t>
  </si>
  <si>
    <t xml:space="preserve">I70.249</t>
  </si>
  <si>
    <t xml:space="preserve">Atherosclerosis of native arteries of left leg with ulceration of unspecified site</t>
  </si>
  <si>
    <t xml:space="preserve">I70.25</t>
  </si>
  <si>
    <t xml:space="preserve">Atherosclerosis of native arteries of other extremities with ulceration</t>
  </si>
  <si>
    <t xml:space="preserve">I70.26</t>
  </si>
  <si>
    <t xml:space="preserve">Atherosclerosis of native arteries of extremities with gangrene</t>
  </si>
  <si>
    <t xml:space="preserve">I70.261</t>
  </si>
  <si>
    <t xml:space="preserve">Atherosclerosis of native arteries of extremities with gangrene, right leg</t>
  </si>
  <si>
    <t xml:space="preserve">I70.262</t>
  </si>
  <si>
    <t xml:space="preserve">Atherosclerosis of native arteries of extremities with gangrene, left leg</t>
  </si>
  <si>
    <t xml:space="preserve">I70.263</t>
  </si>
  <si>
    <t xml:space="preserve">Atherosclerosis of native arteries of extremities with gangrene, bilateral legs</t>
  </si>
  <si>
    <t xml:space="preserve">I70.268</t>
  </si>
  <si>
    <t xml:space="preserve">Atherosclerosis of native arteries of extremities with gangrene, other extremity</t>
  </si>
  <si>
    <t xml:space="preserve">I70.269</t>
  </si>
  <si>
    <t xml:space="preserve">Atherosclerosis of native arteries of extremities with gangrene, unspecified extremity</t>
  </si>
  <si>
    <t xml:space="preserve">I70.29</t>
  </si>
  <si>
    <t xml:space="preserve">Other atherosclerosis of native arteries of extremities</t>
  </si>
  <si>
    <t xml:space="preserve">I70.291</t>
  </si>
  <si>
    <t xml:space="preserve">Other atherosclerosis of native arteries of extremities, right leg</t>
  </si>
  <si>
    <t xml:space="preserve">I70.292</t>
  </si>
  <si>
    <t xml:space="preserve">Other atherosclerosis of native arteries of extremities, left leg</t>
  </si>
  <si>
    <t xml:space="preserve">I70.293</t>
  </si>
  <si>
    <t xml:space="preserve">Other atherosclerosis of native arteries of extremities, bilateral legs</t>
  </si>
  <si>
    <t xml:space="preserve">I70.298</t>
  </si>
  <si>
    <t xml:space="preserve">Other atherosclerosis of native arteries of extremities, other extremity</t>
  </si>
  <si>
    <t xml:space="preserve">I70.299</t>
  </si>
  <si>
    <t xml:space="preserve">Other atherosclerosis of native arteries of extremities, unspecified extremity</t>
  </si>
  <si>
    <t xml:space="preserve">I73.9</t>
  </si>
  <si>
    <t xml:space="preserve">Peripheral vascular disease, unspecified</t>
  </si>
  <si>
    <t xml:space="preserve">440.20</t>
  </si>
  <si>
    <t xml:space="preserve">Atherosclerosis of native arteries of the extremities, unspecified</t>
  </si>
  <si>
    <t xml:space="preserve">440.21</t>
  </si>
  <si>
    <t xml:space="preserve">Atherosclerosis of native arteries of the extremities with intermittent claudication</t>
  </si>
  <si>
    <t xml:space="preserve">440.22</t>
  </si>
  <si>
    <t xml:space="preserve">Atherosclerosis of native arteries of the extremities with rest pain</t>
  </si>
  <si>
    <t xml:space="preserve">440.23</t>
  </si>
  <si>
    <t xml:space="preserve">Atherosclerosis of native arteries of the extremities with ulceration</t>
  </si>
  <si>
    <t xml:space="preserve">440.24</t>
  </si>
  <si>
    <t xml:space="preserve">Atherosclerosis of native arteries of the extremities with gangrene</t>
  </si>
  <si>
    <t xml:space="preserve">440.29</t>
  </si>
  <si>
    <t xml:space="preserve">Other atherosclerosis of native arteries of the extremities</t>
  </si>
  <si>
    <t xml:space="preserve">443.9</t>
  </si>
  <si>
    <t xml:space="preserve">smoking (current)</t>
  </si>
  <si>
    <t xml:space="preserve">F17.2</t>
  </si>
  <si>
    <t xml:space="preserve">Nicotine dependence</t>
  </si>
  <si>
    <t xml:space="preserve">Within 730 days before index = current; older = former</t>
  </si>
  <si>
    <t xml:space="preserve">F17.20</t>
  </si>
  <si>
    <t xml:space="preserve">Nicotine dependence, unspecified</t>
  </si>
  <si>
    <t xml:space="preserve">F17.200</t>
  </si>
  <si>
    <t xml:space="preserve">Nicotine dependence, unspecified, uncomplicated</t>
  </si>
  <si>
    <t xml:space="preserve">F17.201</t>
  </si>
  <si>
    <t xml:space="preserve">Nicotine dependence, unspecified, in remission</t>
  </si>
  <si>
    <t xml:space="preserve">F17.203</t>
  </si>
  <si>
    <t xml:space="preserve">Nicotine dependence unspecified, with withdrawal</t>
  </si>
  <si>
    <t xml:space="preserve">F17.208</t>
  </si>
  <si>
    <t xml:space="preserve">Nicotine dependence, unspecified, with other nicotine-induced disorders</t>
  </si>
  <si>
    <t xml:space="preserve">F17.209</t>
  </si>
  <si>
    <t xml:space="preserve">Nicotine dependence, unspecified, with unspecified nicotine-induced disorders</t>
  </si>
  <si>
    <t xml:space="preserve">F17.21</t>
  </si>
  <si>
    <t xml:space="preserve">Nicotine dependence, cigarettes</t>
  </si>
  <si>
    <t xml:space="preserve">F17.210</t>
  </si>
  <si>
    <t xml:space="preserve">Nicotine dependence, cigarettes, uncomplicated</t>
  </si>
  <si>
    <t xml:space="preserve">F17.211</t>
  </si>
  <si>
    <t xml:space="preserve">Nicotine dependence, cigarettes, in remission</t>
  </si>
  <si>
    <t xml:space="preserve">F17.213</t>
  </si>
  <si>
    <t xml:space="preserve">Nicotine dependence, cigarettes, with withdrawal</t>
  </si>
  <si>
    <t xml:space="preserve">F17.218</t>
  </si>
  <si>
    <t xml:space="preserve">Nicotine dependence, cigarettes, with other nicotine-induced disorders</t>
  </si>
  <si>
    <t xml:space="preserve">F17.219</t>
  </si>
  <si>
    <t xml:space="preserve">Nicotine dependence, cigarettes, with unspecified nicotine-induced disorders</t>
  </si>
  <si>
    <t xml:space="preserve">F17.22</t>
  </si>
  <si>
    <t xml:space="preserve">Nicotine dependence, chewing tobacco</t>
  </si>
  <si>
    <t xml:space="preserve">F17.220</t>
  </si>
  <si>
    <t xml:space="preserve">Nicotine dependence, chewing tobacco, uncomplicated</t>
  </si>
  <si>
    <t xml:space="preserve">F17.221</t>
  </si>
  <si>
    <t xml:space="preserve">Nicotine dependence, chewing tobacco, in remission</t>
  </si>
  <si>
    <t xml:space="preserve">F17.223</t>
  </si>
  <si>
    <t xml:space="preserve">Nicotine dependence, chewing tobacco, with withdrawal</t>
  </si>
  <si>
    <t xml:space="preserve">F17.228</t>
  </si>
  <si>
    <t xml:space="preserve">Nicotine dependence, chewing tobacco, with other nicotine-induced disorders</t>
  </si>
  <si>
    <t xml:space="preserve">F17.229</t>
  </si>
  <si>
    <t xml:space="preserve">Nicotine dependence, chewing tobacco, with unspecified nicotine-induced disorders</t>
  </si>
  <si>
    <t xml:space="preserve">F17.29</t>
  </si>
  <si>
    <t xml:space="preserve">Nicotine dependence, other tobacco product</t>
  </si>
  <si>
    <t xml:space="preserve">F17.290</t>
  </si>
  <si>
    <t xml:space="preserve">Nicotine dependence, other tobacco product, uncomplicated</t>
  </si>
  <si>
    <t xml:space="preserve">F17.291</t>
  </si>
  <si>
    <t xml:space="preserve">Nicotine dependence, other tobacco product, in remission</t>
  </si>
  <si>
    <t xml:space="preserve">F17.293</t>
  </si>
  <si>
    <t xml:space="preserve">Nicotine dependence, other tobacco product, with withdrawal</t>
  </si>
  <si>
    <t xml:space="preserve">F17.298</t>
  </si>
  <si>
    <t xml:space="preserve">Nicotine dependence, other tobacco product, with other nicotine-induced disorders</t>
  </si>
  <si>
    <t xml:space="preserve">F17.299</t>
  </si>
  <si>
    <t xml:space="preserve">Nicotine dependence, other tobacco product, with unspecified nicotine-induced disorders</t>
  </si>
  <si>
    <t xml:space="preserve">Z72.0</t>
  </si>
  <si>
    <t xml:space="preserve">Tobacco use</t>
  </si>
  <si>
    <t xml:space="preserve">305.1</t>
  </si>
  <si>
    <t xml:space="preserve">Tobacco use disorder</t>
  </si>
  <si>
    <t xml:space="preserve">smoking (former)</t>
  </si>
  <si>
    <t xml:space="preserve">Z87.891</t>
  </si>
  <si>
    <t xml:space="preserve">Personal history of nicotine dependence</t>
  </si>
  <si>
    <t xml:space="preserve">V15.82</t>
  </si>
  <si>
    <t xml:space="preserve">Personal history of tobacco use</t>
  </si>
  <si>
    <t xml:space="preserve">diabetes (type 1)</t>
  </si>
  <si>
    <t xml:space="preserve">E10</t>
  </si>
  <si>
    <t xml:space="preserve">Type 1 diabetes mellitus</t>
  </si>
  <si>
    <t xml:space="preserve">E10.1</t>
  </si>
  <si>
    <t xml:space="preserve">Type 1 diabetes mellitus with ketoacidosis</t>
  </si>
  <si>
    <t xml:space="preserve">E10.10</t>
  </si>
  <si>
    <t xml:space="preserve">Type 1 diabetes mellitus with ketoacidosis without coma</t>
  </si>
  <si>
    <t xml:space="preserve">E10.11</t>
  </si>
  <si>
    <t xml:space="preserve">Type 1 diabetes mellitus with ketoacidosis with coma</t>
  </si>
  <si>
    <t xml:space="preserve">E10.2</t>
  </si>
  <si>
    <t xml:space="preserve">Type 1 diabetes mellitus with kidney complications</t>
  </si>
  <si>
    <t xml:space="preserve">E10.21</t>
  </si>
  <si>
    <t xml:space="preserve">Type 1 diabetes mellitus with diabetic nephropathy</t>
  </si>
  <si>
    <t xml:space="preserve">E10.22</t>
  </si>
  <si>
    <t xml:space="preserve">Type 1 diabetes mellitus with diabetic chronic kidney disease</t>
  </si>
  <si>
    <t xml:space="preserve">E10.29</t>
  </si>
  <si>
    <t xml:space="preserve">Type 1 diabetes mellitus with other diabetic kidney complication</t>
  </si>
  <si>
    <t xml:space="preserve">E10.3</t>
  </si>
  <si>
    <t xml:space="preserve">Type 1 diabetes mellitus with ophthalmic complications</t>
  </si>
  <si>
    <t xml:space="preserve">E10.31</t>
  </si>
  <si>
    <t xml:space="preserve">Type 1 diabetes mellitus with unspecified diabetic retinopathy</t>
  </si>
  <si>
    <t xml:space="preserve">E10.311</t>
  </si>
  <si>
    <t xml:space="preserve">Type 1 diabetes mellitus with unspecified diabetic retinopathy with macular edema</t>
  </si>
  <si>
    <t xml:space="preserve">E10.319</t>
  </si>
  <si>
    <t xml:space="preserve">Type 1 diabetes mellitus with unspecified diabetic retinopathy without macular edema</t>
  </si>
  <si>
    <t xml:space="preserve">E10.32</t>
  </si>
  <si>
    <t xml:space="preserve">Type 1 diabetes mellitus with mild nonproliferative diabetic retinopathy</t>
  </si>
  <si>
    <t xml:space="preserve">E10.321</t>
  </si>
  <si>
    <t xml:space="preserve">Type 1 diabetes mellitus with mild nonproliferative diabetic retinopathy with macular edema</t>
  </si>
  <si>
    <t xml:space="preserve">E10.3211</t>
  </si>
  <si>
    <t xml:space="preserve">Type 1 diabetes mellitus with mild nonproliferative diabetic retinopathy with macular edema, right eye</t>
  </si>
  <si>
    <t xml:space="preserve">E10.3212</t>
  </si>
  <si>
    <t xml:space="preserve">Type 1 diabetes mellitus with mild nonproliferative diabetic retinopathy with macular edema, left eye</t>
  </si>
  <si>
    <t xml:space="preserve">E10.3213</t>
  </si>
  <si>
    <t xml:space="preserve">Type 1 diabetes mellitus with mild nonproliferative diabetic retinopathy with macular edema, bilateral</t>
  </si>
  <si>
    <t xml:space="preserve">E10.3219</t>
  </si>
  <si>
    <t xml:space="preserve">Type 1 diabetes mellitus with mild nonproliferative diabetic retinopathy with macular edema, unspecified eye</t>
  </si>
  <si>
    <t xml:space="preserve">E10.329</t>
  </si>
  <si>
    <t xml:space="preserve">Type 1 diabetes mellitus with mild nonproliferative diabetic retinopathy without macular edema</t>
  </si>
  <si>
    <t xml:space="preserve">E10.3291</t>
  </si>
  <si>
    <t xml:space="preserve">Type 1 diabetes mellitus with mild nonproliferative diabetic retinopathy without macular edema, right eye</t>
  </si>
  <si>
    <t xml:space="preserve">E10.3292</t>
  </si>
  <si>
    <t xml:space="preserve">Type 1 diabetes mellitus with mild nonproliferative diabetic retinopathy without macular edema, left eye</t>
  </si>
  <si>
    <t xml:space="preserve">E10.3293</t>
  </si>
  <si>
    <t xml:space="preserve">Type 1 diabetes mellitus with mild nonproliferative diabetic retinopathy without macular edema, bilateral</t>
  </si>
  <si>
    <t xml:space="preserve">E10.3299</t>
  </si>
  <si>
    <t xml:space="preserve">Type 1 diabetes mellitus with mild nonproliferative diabetic retinopathy without macular edema, unspecified eye</t>
  </si>
  <si>
    <t xml:space="preserve">E10.33</t>
  </si>
  <si>
    <t xml:space="preserve">Type 1 diabetes mellitus with moderate nonproliferative diabetic retinopathy</t>
  </si>
  <si>
    <t xml:space="preserve">E10.331</t>
  </si>
  <si>
    <t xml:space="preserve">Type 1 diabetes mellitus with moderate nonproliferative diabetic retinopathy with macular edema</t>
  </si>
  <si>
    <t xml:space="preserve">E10.3311</t>
  </si>
  <si>
    <t xml:space="preserve">Type 1 diabetes mellitus with moderate nonproliferative diabetic retinopathy with macular edema, right eye</t>
  </si>
  <si>
    <t xml:space="preserve">E10.3312</t>
  </si>
  <si>
    <t xml:space="preserve">Type 1 diabetes mellitus with moderate nonproliferative diabetic retinopathy with macular edema, left eye</t>
  </si>
  <si>
    <t xml:space="preserve">E10.3313</t>
  </si>
  <si>
    <t xml:space="preserve">Type 1 diabetes mellitus with moderate nonproliferative diabetic retinopathy with macular edema, bilateral</t>
  </si>
  <si>
    <t xml:space="preserve">E10.3319</t>
  </si>
  <si>
    <t xml:space="preserve">Type 1 diabetes mellitus with moderate nonproliferative diabetic retinopathy with macular edema, unspecified eye</t>
  </si>
  <si>
    <t xml:space="preserve">E10.339</t>
  </si>
  <si>
    <t xml:space="preserve">Type 1 diabetes mellitus with moderate nonproliferative diabetic retinopathy without macular edema</t>
  </si>
  <si>
    <t xml:space="preserve">E10.3391</t>
  </si>
  <si>
    <t xml:space="preserve">Type 1 diabetes mellitus with moderate nonproliferative diabetic retinopathy without macular edema, right eye</t>
  </si>
  <si>
    <t xml:space="preserve">E10.3392</t>
  </si>
  <si>
    <t xml:space="preserve">Type 1 diabetes mellitus with moderate nonproliferative diabetic retinopathy without macular edema, left eye</t>
  </si>
  <si>
    <t xml:space="preserve">E10.3393</t>
  </si>
  <si>
    <t xml:space="preserve">Type 1 diabetes mellitus with moderate nonproliferative diabetic retinopathy without macular edema, bilateral</t>
  </si>
  <si>
    <t xml:space="preserve">E10.3399</t>
  </si>
  <si>
    <t xml:space="preserve">Type 1 diabetes mellitus with moderate nonproliferative diabetic retinopathy without macular edema, unspecified eye</t>
  </si>
  <si>
    <t xml:space="preserve">E10.34</t>
  </si>
  <si>
    <t xml:space="preserve">Type 1 diabetes mellitus with severe nonproliferative diabetic retinopathy</t>
  </si>
  <si>
    <t xml:space="preserve">E10.341</t>
  </si>
  <si>
    <t xml:space="preserve">Type 1 diabetes mellitus with severe nonproliferative diabetic retinopathy with macular edema</t>
  </si>
  <si>
    <t xml:space="preserve">E10.3411</t>
  </si>
  <si>
    <t xml:space="preserve">Type 1 diabetes mellitus with severe nonproliferative diabetic retinopathy with macular edema, right eye</t>
  </si>
  <si>
    <t xml:space="preserve">E10.3412</t>
  </si>
  <si>
    <t xml:space="preserve">Type 1 diabetes mellitus with severe nonproliferative diabetic retinopathy with macular edema, left eye</t>
  </si>
  <si>
    <t xml:space="preserve">E10.3413</t>
  </si>
  <si>
    <t xml:space="preserve">Type 1 diabetes mellitus with severe nonproliferative diabetic retinopathy with macular edema, bilateral</t>
  </si>
  <si>
    <t xml:space="preserve">E10.3419</t>
  </si>
  <si>
    <t xml:space="preserve">Type 1 diabetes mellitus with severe nonproliferative diabetic retinopathy with macular edema, unspecified eye</t>
  </si>
  <si>
    <t xml:space="preserve">E10.349</t>
  </si>
  <si>
    <t xml:space="preserve">Type 1 diabetes mellitus with severe nonproliferative diabetic retinopathy without macular edema</t>
  </si>
  <si>
    <t xml:space="preserve">E10.3491</t>
  </si>
  <si>
    <t xml:space="preserve">Type 1 diabetes mellitus with severe nonproliferative diabetic retinopathy without macular edema, right eye</t>
  </si>
  <si>
    <t xml:space="preserve">E10.3492</t>
  </si>
  <si>
    <t xml:space="preserve">Type 1 diabetes mellitus with severe nonproliferative diabetic retinopathy without macular edema, left eye</t>
  </si>
  <si>
    <t xml:space="preserve">E10.3493</t>
  </si>
  <si>
    <t xml:space="preserve">Type 1 diabetes mellitus with severe nonproliferative diabetic retinopathy without macular edema, bilateral</t>
  </si>
  <si>
    <t xml:space="preserve">E10.3499</t>
  </si>
  <si>
    <t xml:space="preserve">Type 1 diabetes mellitus with severe nonproliferative diabetic retinopathy without macular edema, unspecified eye</t>
  </si>
  <si>
    <t xml:space="preserve">E10.35</t>
  </si>
  <si>
    <t xml:space="preserve">Type 1 diabetes mellitus with proliferative diabetic retinopathy</t>
  </si>
  <si>
    <t xml:space="preserve">E10.351</t>
  </si>
  <si>
    <t xml:space="preserve">Type 1 diabetes mellitus with proliferative diabetic retinopathy with macular edema</t>
  </si>
  <si>
    <t xml:space="preserve">E10.3511</t>
  </si>
  <si>
    <t xml:space="preserve">Type 1 diabetes mellitus with proliferative diabetic retinopathy with macular edema, right eye</t>
  </si>
  <si>
    <t xml:space="preserve">E10.3512</t>
  </si>
  <si>
    <t xml:space="preserve">Type 1 diabetes mellitus with proliferative diabetic retinopathy with macular edema, left eye</t>
  </si>
  <si>
    <t xml:space="preserve">E10.3513</t>
  </si>
  <si>
    <t xml:space="preserve">Type 1 diabetes mellitus with proliferative diabetic retinopathy with macular edema, bilateral</t>
  </si>
  <si>
    <t xml:space="preserve">E10.3519</t>
  </si>
  <si>
    <t xml:space="preserve">Type 1 diabetes mellitus with proliferative diabetic retinopathy with macular edema, unspecified eye</t>
  </si>
  <si>
    <t xml:space="preserve">E10.352</t>
  </si>
  <si>
    <t xml:space="preserve">Type 1 diabetes mellitus with proliferative diabetic retinopathy with traction retinal detachment involving the macula</t>
  </si>
  <si>
    <t xml:space="preserve">E10.3521</t>
  </si>
  <si>
    <t xml:space="preserve">Type 1 diabetes mellitus with proliferative diabetic retinopathy with traction retinal detachment involving the macula, right eye</t>
  </si>
  <si>
    <t xml:space="preserve">E10.3522</t>
  </si>
  <si>
    <t xml:space="preserve">Type 1 diabetes mellitus with proliferative diabetic retinopathy with traction retinal detachment involving the macula, left eye</t>
  </si>
  <si>
    <t xml:space="preserve">E10.3523</t>
  </si>
  <si>
    <t xml:space="preserve">Type 1 diabetes mellitus with proliferative diabetic retinopathy with traction retinal detachment involving the macula, bilateral</t>
  </si>
  <si>
    <t xml:space="preserve">E10.3529</t>
  </si>
  <si>
    <t xml:space="preserve">Type 1 diabetes mellitus with proliferative diabetic retinopathy with traction retinal detachment involving the macula, unspecified eye</t>
  </si>
  <si>
    <t xml:space="preserve">E10.353</t>
  </si>
  <si>
    <t xml:space="preserve">Type 1 diabetes mellitus with proliferative diabetic retinopathy with traction retinal detachment not involving the macula</t>
  </si>
  <si>
    <t xml:space="preserve">E10.3531</t>
  </si>
  <si>
    <t xml:space="preserve">Type 1 diabetes mellitus with proliferative diabetic retinopathy with traction retinal detachment not involving the macula, right eye</t>
  </si>
  <si>
    <t xml:space="preserve">E10.3532</t>
  </si>
  <si>
    <t xml:space="preserve">Type 1 diabetes mellitus with proliferative diabetic retinopathy with traction retinal detachment not involving the macula, left eye</t>
  </si>
  <si>
    <t xml:space="preserve">E10.3533</t>
  </si>
  <si>
    <t xml:space="preserve">Type 1 diabetes mellitus with proliferative diabetic retinopathy with traction retinal detachment not involving the macula, bilateral</t>
  </si>
  <si>
    <t xml:space="preserve">E10.3539</t>
  </si>
  <si>
    <t xml:space="preserve">Type 1 diabetes mellitus with proliferative diabetic retinopathy with traction retinal detachment not involving the macula, unspecified eye</t>
  </si>
  <si>
    <t xml:space="preserve">E10.354</t>
  </si>
  <si>
    <t xml:space="preserve">Type 1 diabetes mellitus with proliferative diabetic retinopathy with combined traction retinal detachment and rhegmatogenous retinal detachment</t>
  </si>
  <si>
    <t xml:space="preserve">E10.3541</t>
  </si>
  <si>
    <t xml:space="preserve">Type 1 diabetes mellitus with proliferative diabetic retinopathy with combined traction retinal detachment and rhegmatogenous retinal detachment, right eye</t>
  </si>
  <si>
    <t xml:space="preserve">E10.3542</t>
  </si>
  <si>
    <t xml:space="preserve">Type 1 diabetes mellitus with proliferative diabetic retinopathy with combined traction retinal detachment and rhegmatogenous retinal detachment, left eye</t>
  </si>
  <si>
    <t xml:space="preserve">E10.3543</t>
  </si>
  <si>
    <t xml:space="preserve">Type 1 diabetes mellitus with proliferative diabetic retinopathy with combined traction retinal detachment and rhegmatogenous retinal detachment, bilateral</t>
  </si>
  <si>
    <t xml:space="preserve">E10.3549</t>
  </si>
  <si>
    <t xml:space="preserve">Type 1 diabetes mellitus with proliferative diabetic retinopathy with combined traction retinal detachment and rhegmatogenous retinal detachment, unspecified eye</t>
  </si>
  <si>
    <t xml:space="preserve">E10.355</t>
  </si>
  <si>
    <t xml:space="preserve">Type 1 diabetes mellitus with stable proliferative diabetic retinopathy</t>
  </si>
  <si>
    <t xml:space="preserve">E10.3551</t>
  </si>
  <si>
    <t xml:space="preserve">Type 1 diabetes mellitus with stable proliferative diabetic retinopathy, right eye</t>
  </si>
  <si>
    <t xml:space="preserve">E10.3552</t>
  </si>
  <si>
    <t xml:space="preserve">Type 1 diabetes mellitus with stable proliferative diabetic retinopathy, left eye</t>
  </si>
  <si>
    <t xml:space="preserve">E10.3553</t>
  </si>
  <si>
    <t xml:space="preserve">Type 1 diabetes mellitus with stable proliferative diabetic retinopathy, bilateral</t>
  </si>
  <si>
    <t xml:space="preserve">E10.3559</t>
  </si>
  <si>
    <t xml:space="preserve">Type 1 diabetes mellitus with stable proliferative diabetic retinopathy, unspecified eye</t>
  </si>
  <si>
    <t xml:space="preserve">E10.359</t>
  </si>
  <si>
    <t xml:space="preserve">Type 1 diabetes mellitus with proliferative diabetic retinopathy without macular edema</t>
  </si>
  <si>
    <t xml:space="preserve">E10.3591</t>
  </si>
  <si>
    <t xml:space="preserve">Type 1 diabetes mellitus with proliferative diabetic retinopathy without macular edema, right eye</t>
  </si>
  <si>
    <t xml:space="preserve">E10.3592</t>
  </si>
  <si>
    <t xml:space="preserve">Type 1 diabetes mellitus with proliferative diabetic retinopathy without macular edema, left eye</t>
  </si>
  <si>
    <t xml:space="preserve">E10.3593</t>
  </si>
  <si>
    <t xml:space="preserve">Type 1 diabetes mellitus with proliferative diabetic retinopathy without macular edema, bilateral</t>
  </si>
  <si>
    <t xml:space="preserve">E10.3599</t>
  </si>
  <si>
    <t xml:space="preserve">Type 1 diabetes mellitus with proliferative diabetic retinopathy without macular edema, unspecified eye</t>
  </si>
  <si>
    <t xml:space="preserve">E10.36</t>
  </si>
  <si>
    <t xml:space="preserve">Type 1 diabetes mellitus with diabetic cataract</t>
  </si>
  <si>
    <t xml:space="preserve">E10.37</t>
  </si>
  <si>
    <t xml:space="preserve">Type 1 diabetes mellitus with diabetic macular edema, resolved following treatment</t>
  </si>
  <si>
    <t xml:space="preserve">E10.37X1</t>
  </si>
  <si>
    <t xml:space="preserve">Type 1 diabetes mellitus with diabetic macular edema, resolved following treatment, right eye</t>
  </si>
  <si>
    <t xml:space="preserve">E10.37X2</t>
  </si>
  <si>
    <t xml:space="preserve">Type 1 diabetes mellitus with diabetic macular edema, resolved following treatment, left eye</t>
  </si>
  <si>
    <t xml:space="preserve">E10.37X3</t>
  </si>
  <si>
    <t xml:space="preserve">Type 1 diabetes mellitus with diabetic macular edema, resolved following treatment, bilateral</t>
  </si>
  <si>
    <t xml:space="preserve">E10.37X9</t>
  </si>
  <si>
    <t xml:space="preserve">Type 1 diabetes mellitus with diabetic macular edema, resolved following treatment, unspecified eye</t>
  </si>
  <si>
    <t xml:space="preserve">E10.39</t>
  </si>
  <si>
    <t xml:space="preserve">Type 1 diabetes mellitus with other diabetic ophthalmic complication</t>
  </si>
  <si>
    <t xml:space="preserve">E10.4</t>
  </si>
  <si>
    <t xml:space="preserve">Type 1 diabetes mellitus with neurological complications</t>
  </si>
  <si>
    <t xml:space="preserve">E10.40</t>
  </si>
  <si>
    <t xml:space="preserve">Type 1 diabetes mellitus with diabetic neuropathy, unspecified</t>
  </si>
  <si>
    <t xml:space="preserve">E10.41</t>
  </si>
  <si>
    <t xml:space="preserve">Type 1 diabetes mellitus with diabetic mononeuropathy</t>
  </si>
  <si>
    <t xml:space="preserve">E10.42</t>
  </si>
  <si>
    <t xml:space="preserve">Type 1 diabetes mellitus with diabetic polyneuropathy</t>
  </si>
  <si>
    <t xml:space="preserve">E10.43</t>
  </si>
  <si>
    <t xml:space="preserve">Type 1 diabetes mellitus with diabetic autonomic (poly)neuropathy</t>
  </si>
  <si>
    <t xml:space="preserve">E10.44</t>
  </si>
  <si>
    <t xml:space="preserve">Type 1 diabetes mellitus with diabetic amyotrophy</t>
  </si>
  <si>
    <t xml:space="preserve">E10.49</t>
  </si>
  <si>
    <t xml:space="preserve">Type 1 diabetes mellitus with other diabetic neurological complication</t>
  </si>
  <si>
    <t xml:space="preserve">E10.5</t>
  </si>
  <si>
    <t xml:space="preserve">Type 1 diabetes mellitus with circulatory complications</t>
  </si>
  <si>
    <t xml:space="preserve">E10.51</t>
  </si>
  <si>
    <t xml:space="preserve">Type 1 diabetes mellitus with diabetic peripheral angiopathy without gangrene</t>
  </si>
  <si>
    <t xml:space="preserve">E10.52</t>
  </si>
  <si>
    <t xml:space="preserve">Type 1 diabetes mellitus with diabetic peripheral angiopathy with gangrene</t>
  </si>
  <si>
    <t xml:space="preserve">E10.59</t>
  </si>
  <si>
    <t xml:space="preserve">Type 1 diabetes mellitus with other circulatory complications</t>
  </si>
  <si>
    <t xml:space="preserve">E10.6</t>
  </si>
  <si>
    <t xml:space="preserve">Type 1 diabetes mellitus with other specified complications</t>
  </si>
  <si>
    <t xml:space="preserve">E10.61</t>
  </si>
  <si>
    <t xml:space="preserve">Type 1 diabetes mellitus with diabetic arthropathy</t>
  </si>
  <si>
    <t xml:space="preserve">E10.610</t>
  </si>
  <si>
    <t xml:space="preserve">Type 1 diabetes mellitus with diabetic neuropathic arthropathy</t>
  </si>
  <si>
    <t xml:space="preserve">E10.618</t>
  </si>
  <si>
    <t xml:space="preserve">Type 1 diabetes mellitus with other diabetic arthropathy</t>
  </si>
  <si>
    <t xml:space="preserve">E10.62</t>
  </si>
  <si>
    <t xml:space="preserve">Type 1 diabetes mellitus with skin complications</t>
  </si>
  <si>
    <t xml:space="preserve">E10.620</t>
  </si>
  <si>
    <t xml:space="preserve">Type 1 diabetes mellitus with diabetic dermatitis</t>
  </si>
  <si>
    <t xml:space="preserve">E10.621</t>
  </si>
  <si>
    <t xml:space="preserve">Type 1 diabetes mellitus with foot ulcer</t>
  </si>
  <si>
    <t xml:space="preserve">E10.622</t>
  </si>
  <si>
    <t xml:space="preserve">Type 1 diabetes mellitus with other skin ulcer</t>
  </si>
  <si>
    <t xml:space="preserve">E10.628</t>
  </si>
  <si>
    <t xml:space="preserve">Type 1 diabetes mellitus with other skin complications</t>
  </si>
  <si>
    <t xml:space="preserve">E10.63</t>
  </si>
  <si>
    <t xml:space="preserve">Type 1 diabetes mellitus with oral complications</t>
  </si>
  <si>
    <t xml:space="preserve">E10.630</t>
  </si>
  <si>
    <t xml:space="preserve">Type 1 diabetes mellitus with periodontal disease</t>
  </si>
  <si>
    <t xml:space="preserve">E10.638</t>
  </si>
  <si>
    <t xml:space="preserve">Type 1 diabetes mellitus with other oral complications</t>
  </si>
  <si>
    <t xml:space="preserve">E10.64</t>
  </si>
  <si>
    <t xml:space="preserve">Type 1 diabetes mellitus with hypoglycemia</t>
  </si>
  <si>
    <t xml:space="preserve">E10.641</t>
  </si>
  <si>
    <t xml:space="preserve">Type 1 diabetes mellitus with hypoglycemia with coma</t>
  </si>
  <si>
    <t xml:space="preserve">E10.649</t>
  </si>
  <si>
    <t xml:space="preserve">Type 1 diabetes mellitus with hypoglycemia without coma</t>
  </si>
  <si>
    <t xml:space="preserve">E10.65</t>
  </si>
  <si>
    <t xml:space="preserve">Type 1 diabetes mellitus with hyperglycemia</t>
  </si>
  <si>
    <t xml:space="preserve">E10.69</t>
  </si>
  <si>
    <t xml:space="preserve">Type 1 diabetes mellitus with other specified complication</t>
  </si>
  <si>
    <t xml:space="preserve">E10.8</t>
  </si>
  <si>
    <t xml:space="preserve">Type 1 diabetes mellitus with unspecified complications</t>
  </si>
  <si>
    <t xml:space="preserve">E10.9</t>
  </si>
  <si>
    <t xml:space="preserve">Type 1 diabetes mellitus without complications</t>
  </si>
  <si>
    <t xml:space="preserve">E10.A</t>
  </si>
  <si>
    <t xml:space="preserve">Type 1 diabetes mellitus, presymptomatic</t>
  </si>
  <si>
    <t xml:space="preserve">E10.A0</t>
  </si>
  <si>
    <t xml:space="preserve">Type 1 diabetes mellitus, presymptomatic, unspecified</t>
  </si>
  <si>
    <t xml:space="preserve">E10.A1</t>
  </si>
  <si>
    <t xml:space="preserve">Type 1 diabetes mellitus, presymptomatic, Stage 1</t>
  </si>
  <si>
    <t xml:space="preserve">E10.A2</t>
  </si>
  <si>
    <t xml:space="preserve">Type 1 diabetes mellitus, presymptomatic, Stage 2</t>
  </si>
  <si>
    <t xml:space="preserve">250.01</t>
  </si>
  <si>
    <t xml:space="preserve">Diabetes mellitus without mention of complication, type I [juvenile type], not stated as uncontrolled</t>
  </si>
  <si>
    <t xml:space="preserve">250.03</t>
  </si>
  <si>
    <t xml:space="preserve">Diabetes mellitus without mention of complication, type I [juvenile type], uncontrolled</t>
  </si>
  <si>
    <t xml:space="preserve">250.11</t>
  </si>
  <si>
    <t xml:space="preserve">Diabetes with ketoacidosis, type I [juvenile type], not stated as uncontrolled</t>
  </si>
  <si>
    <t xml:space="preserve">250.13</t>
  </si>
  <si>
    <t xml:space="preserve">Diabetes with ketoacidosis, type I [juvenile type], uncontrolled</t>
  </si>
  <si>
    <t xml:space="preserve">250.21</t>
  </si>
  <si>
    <t xml:space="preserve">Diabetes with hyperosmolarity, type I [juvenile type], not stated as uncontrolled</t>
  </si>
  <si>
    <t xml:space="preserve">250.23</t>
  </si>
  <si>
    <t xml:space="preserve">Diabetes with hyperosmolarity, type I [juvenile type], uncontrolled</t>
  </si>
  <si>
    <t xml:space="preserve">250.31</t>
  </si>
  <si>
    <t xml:space="preserve">Diabetes with other coma, type I [juvenile type], not stated as uncontrolled</t>
  </si>
  <si>
    <t xml:space="preserve">250.33</t>
  </si>
  <si>
    <t xml:space="preserve">Diabetes with other coma, type I [juvenile type], uncontrolled</t>
  </si>
  <si>
    <t xml:space="preserve">250.41</t>
  </si>
  <si>
    <t xml:space="preserve">Diabetes with renal manifestations, type I [juvenile type], not stated as uncontrolled</t>
  </si>
  <si>
    <t xml:space="preserve">250.43</t>
  </si>
  <si>
    <t xml:space="preserve">Diabetes with renal manifestations, type I [juvenile type], uncontrolled</t>
  </si>
  <si>
    <t xml:space="preserve">250.51</t>
  </si>
  <si>
    <t xml:space="preserve">Diabetes with ophthalmic manifestations, type I [juvenile type], not stated as uncontrolled</t>
  </si>
  <si>
    <t xml:space="preserve">250.53</t>
  </si>
  <si>
    <t xml:space="preserve">Diabetes with ophthalmic manifestations, type I [juvenile type], uncontrolled</t>
  </si>
  <si>
    <t xml:space="preserve">250.61</t>
  </si>
  <si>
    <t xml:space="preserve">Diabetes with neurological manifestations, type I [juvenile type], not stated as uncontrolled</t>
  </si>
  <si>
    <t xml:space="preserve">250.63</t>
  </si>
  <si>
    <t xml:space="preserve">Diabetes with neurological manifestations, type I [juvenile type], uncontrolled</t>
  </si>
  <si>
    <t xml:space="preserve">250.71</t>
  </si>
  <si>
    <t xml:space="preserve">Diabetes with peripheral circulatory disorders, type I [juvenile type], not stated as uncontrolled</t>
  </si>
  <si>
    <t xml:space="preserve">250.73</t>
  </si>
  <si>
    <t xml:space="preserve">Diabetes with peripheral circulatory disorders, type I [juvenile type], uncontrolled</t>
  </si>
  <si>
    <t xml:space="preserve">250.81</t>
  </si>
  <si>
    <t xml:space="preserve">Diabetes with other specified manifestations, type I [juvenile type], not stated as uncontrolled</t>
  </si>
  <si>
    <t xml:space="preserve">250.83</t>
  </si>
  <si>
    <t xml:space="preserve">Diabetes with other specified manifestations, type I [juvenile type], uncontrolled</t>
  </si>
  <si>
    <t xml:space="preserve">250.91</t>
  </si>
  <si>
    <t xml:space="preserve">Diabetes with unspecified complication, type I [juvenile type], not stated as uncontrolled</t>
  </si>
  <si>
    <t xml:space="preserve">250.93</t>
  </si>
  <si>
    <t xml:space="preserve">Diabetes with unspecified complication, type I [juvenile type], uncontrolled</t>
  </si>
  <si>
    <t xml:space="preserve">diabetes (type 2)</t>
  </si>
  <si>
    <t xml:space="preserve">E11</t>
  </si>
  <si>
    <t xml:space="preserve">Type 2 diabetes mellitus</t>
  </si>
  <si>
    <t xml:space="preserve">E11.0</t>
  </si>
  <si>
    <t xml:space="preserve">Type 2 diabetes mellitus with hyperosmolarity</t>
  </si>
  <si>
    <t xml:space="preserve">E11.00</t>
  </si>
  <si>
    <t xml:space="preserve">Type 2 diabetes mellitus with hyperosmolarity without nonketotic hyperglycemic-hyperosmolar coma (NKHHC)</t>
  </si>
  <si>
    <t xml:space="preserve">E11.01</t>
  </si>
  <si>
    <t xml:space="preserve">Type 2 diabetes mellitus with hyperosmolarity with coma</t>
  </si>
  <si>
    <t xml:space="preserve">E11.1</t>
  </si>
  <si>
    <t xml:space="preserve">Type 2 diabetes mellitus with ketoacidosis</t>
  </si>
  <si>
    <t xml:space="preserve">E11.10</t>
  </si>
  <si>
    <t xml:space="preserve">Type 2 diabetes mellitus with ketoacidosis without coma</t>
  </si>
  <si>
    <t xml:space="preserve">E11.11</t>
  </si>
  <si>
    <t xml:space="preserve">Type 2 diabetes mellitus with ketoacidosis with coma</t>
  </si>
  <si>
    <t xml:space="preserve">E11.2</t>
  </si>
  <si>
    <t xml:space="preserve">Type 2 diabetes mellitus with kidney complications</t>
  </si>
  <si>
    <t xml:space="preserve">E11.21</t>
  </si>
  <si>
    <t xml:space="preserve">Type 2 diabetes mellitus with diabetic nephropathy</t>
  </si>
  <si>
    <t xml:space="preserve">E11.22</t>
  </si>
  <si>
    <t xml:space="preserve">Type 2 diabetes mellitus with diabetic chronic kidney disease</t>
  </si>
  <si>
    <t xml:space="preserve">E11.29</t>
  </si>
  <si>
    <t xml:space="preserve">Type 2 diabetes mellitus with other diabetic kidney complication</t>
  </si>
  <si>
    <t xml:space="preserve">E11.3</t>
  </si>
  <si>
    <t xml:space="preserve">Type 2 diabetes mellitus with ophthalmic complications</t>
  </si>
  <si>
    <t xml:space="preserve">E11.31</t>
  </si>
  <si>
    <t xml:space="preserve">Type 2 diabetes mellitus with unspecified diabetic retinopathy</t>
  </si>
  <si>
    <t xml:space="preserve">E11.311</t>
  </si>
  <si>
    <t xml:space="preserve">Type 2 diabetes mellitus with unspecified diabetic retinopathy with macular edema</t>
  </si>
  <si>
    <t xml:space="preserve">E11.319</t>
  </si>
  <si>
    <t xml:space="preserve">Type 2 diabetes mellitus with unspecified diabetic retinopathy without macular edema</t>
  </si>
  <si>
    <t xml:space="preserve">E11.32</t>
  </si>
  <si>
    <t xml:space="preserve">Type 2 diabetes mellitus with mild nonproliferative diabetic retinopathy</t>
  </si>
  <si>
    <t xml:space="preserve">E11.321</t>
  </si>
  <si>
    <t xml:space="preserve">Type 2 diabetes mellitus with mild nonproliferative diabetic retinopathy with macular edema</t>
  </si>
  <si>
    <t xml:space="preserve">E11.3211</t>
  </si>
  <si>
    <t xml:space="preserve">Type 2 diabetes mellitus with mild nonproliferative diabetic retinopathy with macular edema, right eye</t>
  </si>
  <si>
    <t xml:space="preserve">E11.3212</t>
  </si>
  <si>
    <t xml:space="preserve">Type 2 diabetes mellitus with mild nonproliferative diabetic retinopathy with macular edema, left eye</t>
  </si>
  <si>
    <t xml:space="preserve">E11.3213</t>
  </si>
  <si>
    <t xml:space="preserve">Type 2 diabetes mellitus with mild nonproliferative diabetic retinopathy with macular edema, bilateral</t>
  </si>
  <si>
    <t xml:space="preserve">E11.3219</t>
  </si>
  <si>
    <t xml:space="preserve">Type 2 diabetes mellitus with mild nonproliferative diabetic retinopathy with macular edema, unspecified eye</t>
  </si>
  <si>
    <t xml:space="preserve">E11.329</t>
  </si>
  <si>
    <t xml:space="preserve">Type 2 diabetes mellitus with mild nonproliferative diabetic retinopathy without macular edema</t>
  </si>
  <si>
    <t xml:space="preserve">E11.3291</t>
  </si>
  <si>
    <t xml:space="preserve">Type 2 diabetes mellitus with mild nonproliferative diabetic retinopathy without macular edema, right eye</t>
  </si>
  <si>
    <t xml:space="preserve">E11.3292</t>
  </si>
  <si>
    <t xml:space="preserve">Type 2 diabetes mellitus with mild nonproliferative diabetic retinopathy without macular edema, left eye</t>
  </si>
  <si>
    <t xml:space="preserve">E11.3293</t>
  </si>
  <si>
    <t xml:space="preserve">Type 2 diabetes mellitus with mild nonproliferative diabetic retinopathy without macular edema, bilateral</t>
  </si>
  <si>
    <t xml:space="preserve">E11.3299</t>
  </si>
  <si>
    <t xml:space="preserve">Type 2 diabetes mellitus with mild nonproliferative diabetic retinopathy without macular edema, unspecified eye</t>
  </si>
  <si>
    <t xml:space="preserve">E11.33</t>
  </si>
  <si>
    <t xml:space="preserve">Type 2 diabetes mellitus with moderate nonproliferative diabetic retinopathy</t>
  </si>
  <si>
    <t xml:space="preserve">E11.331</t>
  </si>
  <si>
    <t xml:space="preserve">Type 2 diabetes mellitus with moderate nonproliferative diabetic retinopathy with macular edema</t>
  </si>
  <si>
    <t xml:space="preserve">E11.3311</t>
  </si>
  <si>
    <t xml:space="preserve">Type 2 diabetes mellitus with moderate nonproliferative diabetic retinopathy with macular edema, right eye</t>
  </si>
  <si>
    <t xml:space="preserve">E11.3312</t>
  </si>
  <si>
    <t xml:space="preserve">Type 2 diabetes mellitus with moderate nonproliferative diabetic retinopathy with macular edema, left eye</t>
  </si>
  <si>
    <t xml:space="preserve">E11.3313</t>
  </si>
  <si>
    <t xml:space="preserve">Type 2 diabetes mellitus with moderate nonproliferative diabetic retinopathy with macular edema, bilateral</t>
  </si>
  <si>
    <t xml:space="preserve">E11.3319</t>
  </si>
  <si>
    <t xml:space="preserve">Type 2 diabetes mellitus with moderate nonproliferative diabetic retinopathy with macular edema, unspecified eye</t>
  </si>
  <si>
    <t xml:space="preserve">E11.339</t>
  </si>
  <si>
    <t xml:space="preserve">Type 2 diabetes mellitus with moderate nonproliferative diabetic retinopathy without macular edema</t>
  </si>
  <si>
    <t xml:space="preserve">E11.3391</t>
  </si>
  <si>
    <t xml:space="preserve">Type 2 diabetes mellitus with moderate nonproliferative diabetic retinopathy without macular edema, right eye</t>
  </si>
  <si>
    <t xml:space="preserve">E11.3392</t>
  </si>
  <si>
    <t xml:space="preserve">Type 2 diabetes mellitus with moderate nonproliferative diabetic retinopathy without macular edema, left eye</t>
  </si>
  <si>
    <t xml:space="preserve">E11.3393</t>
  </si>
  <si>
    <t xml:space="preserve">Type 2 diabetes mellitus with moderate nonproliferative diabetic retinopathy without macular edema, bilateral</t>
  </si>
  <si>
    <t xml:space="preserve">E11.3399</t>
  </si>
  <si>
    <t xml:space="preserve">Type 2 diabetes mellitus with moderate nonproliferative diabetic retinopathy without macular edema, unspecified eye</t>
  </si>
  <si>
    <t xml:space="preserve">E11.34</t>
  </si>
  <si>
    <t xml:space="preserve">Type 2 diabetes mellitus with severe nonproliferative diabetic retinopathy</t>
  </si>
  <si>
    <t xml:space="preserve">E11.341</t>
  </si>
  <si>
    <t xml:space="preserve">Type 2 diabetes mellitus with severe nonproliferative diabetic retinopathy with macular edema</t>
  </si>
  <si>
    <t xml:space="preserve">E11.3411</t>
  </si>
  <si>
    <t xml:space="preserve">Type 2 diabetes mellitus with severe nonproliferative diabetic retinopathy with macular edema, right eye</t>
  </si>
  <si>
    <t xml:space="preserve">E11.3412</t>
  </si>
  <si>
    <t xml:space="preserve">Type 2 diabetes mellitus with severe nonproliferative diabetic retinopathy with macular edema, left eye</t>
  </si>
  <si>
    <t xml:space="preserve">E11.3413</t>
  </si>
  <si>
    <t xml:space="preserve">Type 2 diabetes mellitus with severe nonproliferative diabetic retinopathy with macular edema, bilateral</t>
  </si>
  <si>
    <t xml:space="preserve">E11.3419</t>
  </si>
  <si>
    <t xml:space="preserve">Type 2 diabetes mellitus with severe nonproliferative diabetic retinopathy with macular edema, unspecified eye</t>
  </si>
  <si>
    <t xml:space="preserve">E11.349</t>
  </si>
  <si>
    <t xml:space="preserve">Type 2 diabetes mellitus with severe nonproliferative diabetic retinopathy without macular edema</t>
  </si>
  <si>
    <t xml:space="preserve">E11.3491</t>
  </si>
  <si>
    <t xml:space="preserve">Type 2 diabetes mellitus with severe nonproliferative diabetic retinopathy without macular edema, right eye</t>
  </si>
  <si>
    <t xml:space="preserve">E11.3492</t>
  </si>
  <si>
    <t xml:space="preserve">Type 2 diabetes mellitus with severe nonproliferative diabetic retinopathy without macular edema, left eye</t>
  </si>
  <si>
    <t xml:space="preserve">E11.3493</t>
  </si>
  <si>
    <t xml:space="preserve">Type 2 diabetes mellitus with severe nonproliferative diabetic retinopathy without macular edema, bilateral</t>
  </si>
  <si>
    <t xml:space="preserve">E11.3499</t>
  </si>
  <si>
    <t xml:space="preserve">Type 2 diabetes mellitus with severe nonproliferative diabetic retinopathy without macular edema, unspecified eye</t>
  </si>
  <si>
    <t xml:space="preserve">E11.35</t>
  </si>
  <si>
    <t xml:space="preserve">Type 2 diabetes mellitus with proliferative diabetic retinopathy</t>
  </si>
  <si>
    <t xml:space="preserve">E11.351</t>
  </si>
  <si>
    <t xml:space="preserve">Type 2 diabetes mellitus with proliferative diabetic retinopathy with macular edema</t>
  </si>
  <si>
    <t xml:space="preserve">E11.3511</t>
  </si>
  <si>
    <t xml:space="preserve">Type 2 diabetes mellitus with proliferative diabetic retinopathy with macular edema, right eye</t>
  </si>
  <si>
    <t xml:space="preserve">E11.3512</t>
  </si>
  <si>
    <t xml:space="preserve">Type 2 diabetes mellitus with proliferative diabetic retinopathy with macular edema, left eye</t>
  </si>
  <si>
    <t xml:space="preserve">E11.3513</t>
  </si>
  <si>
    <t xml:space="preserve">Type 2 diabetes mellitus with proliferative diabetic retinopathy with macular edema, bilateral</t>
  </si>
  <si>
    <t xml:space="preserve">E11.3519</t>
  </si>
  <si>
    <t xml:space="preserve">Type 2 diabetes mellitus with proliferative diabetic retinopathy with macular edema, unspecified eye</t>
  </si>
  <si>
    <t xml:space="preserve">E11.352</t>
  </si>
  <si>
    <t xml:space="preserve">Type 2 diabetes mellitus with proliferative diabetic retinopathy with traction retinal detachment involving the macula</t>
  </si>
  <si>
    <t xml:space="preserve">E11.3521</t>
  </si>
  <si>
    <t xml:space="preserve">Type 2 diabetes mellitus with proliferative diabetic retinopathy with traction retinal detachment involving the macula, right eye</t>
  </si>
  <si>
    <t xml:space="preserve">E11.3522</t>
  </si>
  <si>
    <t xml:space="preserve">Type 2 diabetes mellitus with proliferative diabetic retinopathy with traction retinal detachment involving the macula, left eye</t>
  </si>
  <si>
    <t xml:space="preserve">E11.3523</t>
  </si>
  <si>
    <t xml:space="preserve">Type 2 diabetes mellitus with proliferative diabetic retinopathy with traction retinal detachment involving the macula, bilateral</t>
  </si>
  <si>
    <t xml:space="preserve">E11.3529</t>
  </si>
  <si>
    <t xml:space="preserve">Type 2 diabetes mellitus with proliferative diabetic retinopathy with traction retinal detachment involving the macula, unspecified eye</t>
  </si>
  <si>
    <t xml:space="preserve">E11.353</t>
  </si>
  <si>
    <t xml:space="preserve">Type 2 diabetes mellitus with proliferative diabetic retinopathy with traction retinal detachment not involving the macula</t>
  </si>
  <si>
    <t xml:space="preserve">E11.3531</t>
  </si>
  <si>
    <t xml:space="preserve">Type 2 diabetes mellitus with proliferative diabetic retinopathy with traction retinal detachment not involving the macula, right eye</t>
  </si>
  <si>
    <t xml:space="preserve">E11.3532</t>
  </si>
  <si>
    <t xml:space="preserve">Type 2 diabetes mellitus with proliferative diabetic retinopathy with traction retinal detachment not involving the macula, left eye</t>
  </si>
  <si>
    <t xml:space="preserve">E11.3533</t>
  </si>
  <si>
    <t xml:space="preserve">Type 2 diabetes mellitus with proliferative diabetic retinopathy with traction retinal detachment not involving the macula, bilateral</t>
  </si>
  <si>
    <t xml:space="preserve">E11.3539</t>
  </si>
  <si>
    <t xml:space="preserve">Type 2 diabetes mellitus with proliferative diabetic retinopathy with traction retinal detachment not involving the macula, unspecified eye</t>
  </si>
  <si>
    <t xml:space="preserve">E11.354</t>
  </si>
  <si>
    <t xml:space="preserve">Type 2 diabetes mellitus with proliferative diabetic retinopathy with combined traction retinal detachment and rhegmatogenous retinal detachment</t>
  </si>
  <si>
    <t xml:space="preserve">E11.3541</t>
  </si>
  <si>
    <t xml:space="preserve">Type 2 diabetes mellitus with proliferative diabetic retinopathy with combined traction retinal detachment and rhegmatogenous retinal detachment, right eye</t>
  </si>
  <si>
    <t xml:space="preserve">E11.3542</t>
  </si>
  <si>
    <t xml:space="preserve">Type 2 diabetes mellitus with proliferative diabetic retinopathy with combined traction retinal detachment and rhegmatogenous retinal detachment, left eye</t>
  </si>
  <si>
    <t xml:space="preserve">E11.3543</t>
  </si>
  <si>
    <t xml:space="preserve">Type 2 diabetes mellitus with proliferative diabetic retinopathy with combined traction retinal detachment and rhegmatogenous retinal detachment, bilateral</t>
  </si>
  <si>
    <t xml:space="preserve">E11.3549</t>
  </si>
  <si>
    <t xml:space="preserve">Type 2 diabetes mellitus with proliferative diabetic retinopathy with combined traction retinal detachment and rhegmatogenous retinal detachment, unspecified eye</t>
  </si>
  <si>
    <t xml:space="preserve">E11.355</t>
  </si>
  <si>
    <t xml:space="preserve">Type 2 diabetes mellitus with stable proliferative diabetic retinopathy</t>
  </si>
  <si>
    <t xml:space="preserve">E11.3551</t>
  </si>
  <si>
    <t xml:space="preserve">Type 2 diabetes mellitus with stable proliferative diabetic retinopathy, right eye</t>
  </si>
  <si>
    <t xml:space="preserve">E11.3552</t>
  </si>
  <si>
    <t xml:space="preserve">Type 2 diabetes mellitus with stable proliferative diabetic retinopathy, left eye</t>
  </si>
  <si>
    <t xml:space="preserve">E11.3553</t>
  </si>
  <si>
    <t xml:space="preserve">Type 2 diabetes mellitus with stable proliferative diabetic retinopathy, bilateral</t>
  </si>
  <si>
    <t xml:space="preserve">E11.3559</t>
  </si>
  <si>
    <t xml:space="preserve">Type 2 diabetes mellitus with stable proliferative diabetic retinopathy, unspecified eye</t>
  </si>
  <si>
    <t xml:space="preserve">E11.359</t>
  </si>
  <si>
    <t xml:space="preserve">Type 2 diabetes mellitus with proliferative diabetic retinopathy without macular edema</t>
  </si>
  <si>
    <t xml:space="preserve">E11.3591</t>
  </si>
  <si>
    <t xml:space="preserve">Type 2 diabetes mellitus with proliferative diabetic retinopathy without macular edema, right eye</t>
  </si>
  <si>
    <t xml:space="preserve">E11.3592</t>
  </si>
  <si>
    <t xml:space="preserve">Type 2 diabetes mellitus with proliferative diabetic retinopathy without macular edema, left eye</t>
  </si>
  <si>
    <t xml:space="preserve">E11.3593</t>
  </si>
  <si>
    <t xml:space="preserve">Type 2 diabetes mellitus with proliferative diabetic retinopathy without macular edema, bilateral</t>
  </si>
  <si>
    <t xml:space="preserve">E11.3599</t>
  </si>
  <si>
    <t xml:space="preserve">Type 2 diabetes mellitus with proliferative diabetic retinopathy without macular edema, unspecified eye</t>
  </si>
  <si>
    <t xml:space="preserve">E11.36</t>
  </si>
  <si>
    <t xml:space="preserve">Type 2 diabetes mellitus with diabetic cataract</t>
  </si>
  <si>
    <t xml:space="preserve">E11.37</t>
  </si>
  <si>
    <t xml:space="preserve">Type 2 diabetes mellitus with diabetic macular edema, resolved following treatment</t>
  </si>
  <si>
    <t xml:space="preserve">E11.37X1</t>
  </si>
  <si>
    <t xml:space="preserve">Type 2 diabetes mellitus with diabetic macular edema, resolved following treatment, right eye</t>
  </si>
  <si>
    <t xml:space="preserve">E11.37X2</t>
  </si>
  <si>
    <t xml:space="preserve">Type 2 diabetes mellitus with diabetic macular edema, resolved following treatment, left eye</t>
  </si>
  <si>
    <t xml:space="preserve">E11.37X3</t>
  </si>
  <si>
    <t xml:space="preserve">Type 2 diabetes mellitus with diabetic macular edema, resolved following treatment, bilateral</t>
  </si>
  <si>
    <t xml:space="preserve">E11.37X9</t>
  </si>
  <si>
    <t xml:space="preserve">Type 2 diabetes mellitus with diabetic macular edema, resolved following treatment, unspecified eye</t>
  </si>
  <si>
    <t xml:space="preserve">E11.39</t>
  </si>
  <si>
    <t xml:space="preserve">Type 2 diabetes mellitus with other diabetic ophthalmic complication</t>
  </si>
  <si>
    <t xml:space="preserve">E11.4</t>
  </si>
  <si>
    <t xml:space="preserve">Type 2 diabetes mellitus with neurological complications</t>
  </si>
  <si>
    <t xml:space="preserve">E11.40</t>
  </si>
  <si>
    <t xml:space="preserve">Type 2 diabetes mellitus with diabetic neuropathy, unspecified</t>
  </si>
  <si>
    <t xml:space="preserve">E11.41</t>
  </si>
  <si>
    <t xml:space="preserve">Type 2 diabetes mellitus with diabetic mononeuropathy</t>
  </si>
  <si>
    <t xml:space="preserve">E11.42</t>
  </si>
  <si>
    <t xml:space="preserve">Type 2 diabetes mellitus with diabetic polyneuropathy</t>
  </si>
  <si>
    <t xml:space="preserve">E11.43</t>
  </si>
  <si>
    <t xml:space="preserve">Type 2 diabetes mellitus with diabetic autonomic (poly)neuropathy</t>
  </si>
  <si>
    <t xml:space="preserve">E11.44</t>
  </si>
  <si>
    <t xml:space="preserve">Type 2 diabetes mellitus with diabetic amyotrophy</t>
  </si>
  <si>
    <t xml:space="preserve">E11.49</t>
  </si>
  <si>
    <t xml:space="preserve">Type 2 diabetes mellitus with other diabetic neurological complication</t>
  </si>
  <si>
    <t xml:space="preserve">E11.5</t>
  </si>
  <si>
    <t xml:space="preserve">Type 2 diabetes mellitus with circulatory complications</t>
  </si>
  <si>
    <t xml:space="preserve">E11.51</t>
  </si>
  <si>
    <t xml:space="preserve">Type 2 diabetes mellitus with diabetic peripheral angiopathy without gangrene</t>
  </si>
  <si>
    <t xml:space="preserve">E11.52</t>
  </si>
  <si>
    <t xml:space="preserve">Type 2 diabetes mellitus with diabetic peripheral angiopathy with gangrene</t>
  </si>
  <si>
    <t xml:space="preserve">E11.59</t>
  </si>
  <si>
    <t xml:space="preserve">Type 2 diabetes mellitus with other circulatory complications</t>
  </si>
  <si>
    <t xml:space="preserve">E11.6</t>
  </si>
  <si>
    <t xml:space="preserve">Type 2 diabetes mellitus with other specified complications</t>
  </si>
  <si>
    <t xml:space="preserve">E11.61</t>
  </si>
  <si>
    <t xml:space="preserve">Type 2 diabetes mellitus with diabetic arthropathy</t>
  </si>
  <si>
    <t xml:space="preserve">E11.610</t>
  </si>
  <si>
    <t xml:space="preserve">Type 2 diabetes mellitus with diabetic neuropathic arthropathy</t>
  </si>
  <si>
    <t xml:space="preserve">E11.618</t>
  </si>
  <si>
    <t xml:space="preserve">Type 2 diabetes mellitus with other diabetic arthropathy</t>
  </si>
  <si>
    <t xml:space="preserve">E11.62</t>
  </si>
  <si>
    <t xml:space="preserve">Type 2 diabetes mellitus with skin complications</t>
  </si>
  <si>
    <t xml:space="preserve">E11.620</t>
  </si>
  <si>
    <t xml:space="preserve">Type 2 diabetes mellitus with diabetic dermatitis</t>
  </si>
  <si>
    <t xml:space="preserve">E11.621</t>
  </si>
  <si>
    <t xml:space="preserve">Type 2 diabetes mellitus with foot ulcer</t>
  </si>
  <si>
    <t xml:space="preserve">E11.622</t>
  </si>
  <si>
    <t xml:space="preserve">Type 2 diabetes mellitus with other skin ulcer</t>
  </si>
  <si>
    <t xml:space="preserve">E11.628</t>
  </si>
  <si>
    <t xml:space="preserve">Type 2 diabetes mellitus with other skin complications</t>
  </si>
  <si>
    <t xml:space="preserve">E11.63</t>
  </si>
  <si>
    <t xml:space="preserve">Type 2 diabetes mellitus with oral complications</t>
  </si>
  <si>
    <t xml:space="preserve">E11.630</t>
  </si>
  <si>
    <t xml:space="preserve">Type 2 diabetes mellitus with periodontal disease</t>
  </si>
  <si>
    <t xml:space="preserve">E11.638</t>
  </si>
  <si>
    <t xml:space="preserve">Type 2 diabetes mellitus with other oral complications</t>
  </si>
  <si>
    <t xml:space="preserve">E11.64</t>
  </si>
  <si>
    <t xml:space="preserve">Type 2 diabetes mellitus with hypoglycemia</t>
  </si>
  <si>
    <t xml:space="preserve">E11.641</t>
  </si>
  <si>
    <t xml:space="preserve">Type 2 diabetes mellitus with hypoglycemia with coma</t>
  </si>
  <si>
    <t xml:space="preserve">E11.649</t>
  </si>
  <si>
    <t xml:space="preserve">Type 2 diabetes mellitus with hypoglycemia without coma</t>
  </si>
  <si>
    <t xml:space="preserve">E11.65</t>
  </si>
  <si>
    <t xml:space="preserve">Type 2 diabetes mellitus with hyperglycemia</t>
  </si>
  <si>
    <t xml:space="preserve">E11.69</t>
  </si>
  <si>
    <t xml:space="preserve">Type 2 diabetes mellitus with other specified complication</t>
  </si>
  <si>
    <t xml:space="preserve">E11.8</t>
  </si>
  <si>
    <t xml:space="preserve">Type 2 diabetes mellitus with unspecified complications</t>
  </si>
  <si>
    <t xml:space="preserve">E11.9</t>
  </si>
  <si>
    <t xml:space="preserve">Type 2 diabetes mellitus without complications</t>
  </si>
  <si>
    <t xml:space="preserve">E11.A</t>
  </si>
  <si>
    <t xml:space="preserve">Type 2 diabetes mellitus without complications in remission</t>
  </si>
  <si>
    <t xml:space="preserve">250.00</t>
  </si>
  <si>
    <t xml:space="preserve">Diabetes mellitus without mention of complication, type II or unspecified type, not stated as uncontrolled</t>
  </si>
  <si>
    <t xml:space="preserve">250.02</t>
  </si>
  <si>
    <t xml:space="preserve">Diabetes mellitus without mention of complication, type II or unspecified type, uncontrolled</t>
  </si>
  <si>
    <t xml:space="preserve">250.10</t>
  </si>
  <si>
    <t xml:space="preserve">Diabetes with ketoacidosis, type II or unspecified type, not stated as uncontrolled</t>
  </si>
  <si>
    <t xml:space="preserve">250.12</t>
  </si>
  <si>
    <t xml:space="preserve">Diabetes with ketoacidosis, type II or unspecified type, uncontrolled</t>
  </si>
  <si>
    <t xml:space="preserve">250.20</t>
  </si>
  <si>
    <t xml:space="preserve">Diabetes with hyperosmolarity, type II or unspecified type, not stated as uncontrolled</t>
  </si>
  <si>
    <t xml:space="preserve">250.22</t>
  </si>
  <si>
    <t xml:space="preserve">Diabetes with hyperosmolarity, type II or unspecified type, uncontrolled</t>
  </si>
  <si>
    <t xml:space="preserve">250.30</t>
  </si>
  <si>
    <t xml:space="preserve">Diabetes with other coma, type II or unspecified type, not stated as uncontrolled</t>
  </si>
  <si>
    <t xml:space="preserve">250.32</t>
  </si>
  <si>
    <t xml:space="preserve">Diabetes with other coma, type II or unspecified type, uncontrolled</t>
  </si>
  <si>
    <t xml:space="preserve">250.40</t>
  </si>
  <si>
    <t xml:space="preserve">Diabetes with renal manifestations, type II or unspecified type, not stated as uncontrolled</t>
  </si>
  <si>
    <t xml:space="preserve">250.42</t>
  </si>
  <si>
    <t xml:space="preserve">Diabetes with renal manifestations, type II or unspecified type, uncontrolled</t>
  </si>
  <si>
    <t xml:space="preserve">250.50</t>
  </si>
  <si>
    <t xml:space="preserve">Diabetes with ophthalmic manifestations, type II or unspecified type, not stated as uncontrolled</t>
  </si>
  <si>
    <t xml:space="preserve">250.52</t>
  </si>
  <si>
    <t xml:space="preserve">Diabetes with ophthalmic manifestations, type II or unspecified type, uncontrolled</t>
  </si>
  <si>
    <t xml:space="preserve">250.60</t>
  </si>
  <si>
    <t xml:space="preserve">Diabetes with neurological manifestations, type II or unspecified type, not stated as uncontrolled</t>
  </si>
  <si>
    <t xml:space="preserve">250.62</t>
  </si>
  <si>
    <t xml:space="preserve">Diabetes with neurological manifestations, type II or unspecified type, uncontrolled</t>
  </si>
  <si>
    <t xml:space="preserve">250.70</t>
  </si>
  <si>
    <t xml:space="preserve">Diabetes with peripheral circulatory disorders, type II or unspecified type, not stated as uncontrolled</t>
  </si>
  <si>
    <t xml:space="preserve">250.72</t>
  </si>
  <si>
    <t xml:space="preserve">Diabetes with peripheral circulatory disorders, type II or unspecified type, uncontrolled</t>
  </si>
  <si>
    <t xml:space="preserve">250.80</t>
  </si>
  <si>
    <t xml:space="preserve">Diabetes with other specified manifestations, type II or unspecified type, not stated as uncontrolled</t>
  </si>
  <si>
    <t xml:space="preserve">250.82</t>
  </si>
  <si>
    <t xml:space="preserve">Diabetes with other specified manifestations, type II or unspecified type, uncontrolled</t>
  </si>
  <si>
    <t xml:space="preserve">250.90</t>
  </si>
  <si>
    <t xml:space="preserve">Diabetes with unspecified complication, type II or unspecified type, not stated as uncontrolled</t>
  </si>
  <si>
    <t xml:space="preserve">250.92</t>
  </si>
  <si>
    <t xml:space="preserve">Diabetes with unspecified complication, type II or unspecified type, uncontrolled</t>
  </si>
  <si>
    <t xml:space="preserve">diabetes (prediabetes)</t>
  </si>
  <si>
    <t xml:space="preserve">R73.0</t>
  </si>
  <si>
    <t xml:space="preserve">Abnormal glucose</t>
  </si>
  <si>
    <t xml:space="preserve">R73.01</t>
  </si>
  <si>
    <t xml:space="preserve">Impaired fasting glucose</t>
  </si>
  <si>
    <t xml:space="preserve">R73.02</t>
  </si>
  <si>
    <t xml:space="preserve">Impaired glucose tolerance (oral)</t>
  </si>
  <si>
    <t xml:space="preserve">R73.03</t>
  </si>
  <si>
    <t xml:space="preserve">Prediabetes</t>
  </si>
  <si>
    <t xml:space="preserve">R73.09</t>
  </si>
  <si>
    <t xml:space="preserve">Other abnormal glucose</t>
  </si>
  <si>
    <t xml:space="preserve">790.21</t>
  </si>
  <si>
    <t xml:space="preserve">790.22</t>
  </si>
  <si>
    <t xml:space="preserve">Impaired glucose tolerance test (oral)</t>
  </si>
  <si>
    <t xml:space="preserve">790.29</t>
  </si>
  <si>
    <t xml:space="preserve">Outcome diagnoses (candidate events)</t>
  </si>
  <si>
    <t xml:space="preserve">A code recorded after index creates a CANDIDATE event; auto-labelling and cardiologist adjudication decide whether it is a real event. included = no rows are deliberately not used (reason given).</t>
  </si>
  <si>
    <t xml:space="preserve">Calculator</t>
  </si>
  <si>
    <t xml:space="preserve">Subtype hint</t>
  </si>
  <si>
    <t xml:space="preserve">Included</t>
  </si>
  <si>
    <t xml:space="preserve">Reason excluded</t>
  </si>
  <si>
    <t xml:space="preserve">header (not billable in FY2026; may appear in older records)</t>
  </si>
  <si>
    <t xml:space="preserve">yes</t>
  </si>
  <si>
    <t xml:space="preserve">Any date after index (models use 30-day, 1-year, 5-year horizons)</t>
  </si>
  <si>
    <t xml:space="preserve">stemi</t>
  </si>
  <si>
    <t xml:space="preserve">nstemi</t>
  </si>
  <si>
    <t xml:space="preserve">unspecified</t>
  </si>
  <si>
    <t xml:space="preserve">type2</t>
  </si>
  <si>
    <t xml:space="preserve">no</t>
  </si>
  <si>
    <t xml:space="preserve">Subsequent episode of care (follow-up of an earlier MI, not a new event)</t>
  </si>
  <si>
    <t xml:space="preserve">tia</t>
  </si>
  <si>
    <t xml:space="preserve">Transient global amnesia: not cerebral ischemia</t>
  </si>
  <si>
    <t xml:space="preserve">hemorrhagic</t>
  </si>
  <si>
    <t xml:space="preserve">Nontraumatic subdural hemorrhage: not a stroke under the AHA/ASA 2013 definition</t>
  </si>
  <si>
    <t xml:space="preserve">Nontraumatic extradural hemorrhage: not a stroke under the AHA/ASA 2013 definition</t>
  </si>
  <si>
    <t xml:space="preserve">ischemic</t>
  </si>
  <si>
    <t xml:space="preserve">Subdural hemorrhage: not a stroke under the AHA/ASA 2013 definition</t>
  </si>
  <si>
    <t xml:space="preserve">Subclavian steal syndrome: not a transient ischemic attack</t>
  </si>
  <si>
    <t xml:space="preserve">unknown</t>
  </si>
  <si>
    <t xml:space="preserve">I09.81</t>
  </si>
  <si>
    <t xml:space="preserve">Rheumatic heart failure</t>
  </si>
  <si>
    <t xml:space="preserve">hfref</t>
  </si>
  <si>
    <t xml:space="preserve">hfpef</t>
  </si>
  <si>
    <t xml:space="preserve">I97.13</t>
  </si>
  <si>
    <t xml:space="preserve">Postprocedural heart failure</t>
  </si>
  <si>
    <t xml:space="preserve">I97.130</t>
  </si>
  <si>
    <t xml:space="preserve">Postprocedural heart failure following cardiac surgery</t>
  </si>
  <si>
    <t xml:space="preserve">I97.131</t>
  </si>
  <si>
    <t xml:space="preserve">Postprocedural heart failure following other surgery</t>
  </si>
  <si>
    <t xml:space="preserve">398.91</t>
  </si>
  <si>
    <t xml:space="preserve">Rheumatic heart failure (congestive)</t>
  </si>
  <si>
    <t xml:space="preserve">I46</t>
  </si>
  <si>
    <t xml:space="preserve">Cardiac arrest</t>
  </si>
  <si>
    <t xml:space="preserve">arrest</t>
  </si>
  <si>
    <t xml:space="preserve">I46.2</t>
  </si>
  <si>
    <t xml:space="preserve">Cardiac arrest due to underlying cardiac condition</t>
  </si>
  <si>
    <t xml:space="preserve">I46.8</t>
  </si>
  <si>
    <t xml:space="preserve">Cardiac arrest due to other underlying condition</t>
  </si>
  <si>
    <t xml:space="preserve">I46.9</t>
  </si>
  <si>
    <t xml:space="preserve">Cardiac arrest, cause unspecified</t>
  </si>
  <si>
    <t xml:space="preserve">I47.2</t>
  </si>
  <si>
    <t xml:space="preserve">Ventricular tachycardia</t>
  </si>
  <si>
    <t xml:space="preserve">vt</t>
  </si>
  <si>
    <t xml:space="preserve">I47.20</t>
  </si>
  <si>
    <t xml:space="preserve">Ventricular tachycardia, unspecified</t>
  </si>
  <si>
    <t xml:space="preserve">I47.21</t>
  </si>
  <si>
    <t xml:space="preserve">Torsades de pointes</t>
  </si>
  <si>
    <t xml:space="preserve">I47.29</t>
  </si>
  <si>
    <t xml:space="preserve">Other ventricular tachycardia</t>
  </si>
  <si>
    <t xml:space="preserve">I49.01</t>
  </si>
  <si>
    <t xml:space="preserve">Ventricular fibrillation</t>
  </si>
  <si>
    <t xml:space="preserve">vf</t>
  </si>
  <si>
    <t xml:space="preserve">I49.02</t>
  </si>
  <si>
    <t xml:space="preserve">Ventricular flutter</t>
  </si>
  <si>
    <t xml:space="preserve">I97.12</t>
  </si>
  <si>
    <t xml:space="preserve">Postprocedural cardiac arrest</t>
  </si>
  <si>
    <t xml:space="preserve">I97.120</t>
  </si>
  <si>
    <t xml:space="preserve">Postprocedural cardiac arrest following cardiac surgery</t>
  </si>
  <si>
    <t xml:space="preserve">I97.121</t>
  </si>
  <si>
    <t xml:space="preserve">Postprocedural cardiac arrest following other surgery</t>
  </si>
  <si>
    <t xml:space="preserve">427.1</t>
  </si>
  <si>
    <t xml:space="preserve">Paroxysmal ventricular tachycardia</t>
  </si>
  <si>
    <t xml:space="preserve">427.41</t>
  </si>
  <si>
    <t xml:space="preserve">427.42</t>
  </si>
  <si>
    <t xml:space="preserve">427.5</t>
  </si>
  <si>
    <t xml:space="preserve">flutter</t>
  </si>
  <si>
    <t xml:space="preserve">Procedures (adjudication evidence)</t>
  </si>
  <si>
    <t xml:space="preserve">CPT codes are listed as ranges (not every number in a range is an active CPT code). ICD-10-PCS entries ending in * mean every code starting with those characters.</t>
  </si>
  <si>
    <t xml:space="preserve">Procedure</t>
  </si>
  <si>
    <t xml:space="preserve">Codes</t>
  </si>
  <si>
    <t xml:space="preserve">Pattern in code set</t>
  </si>
  <si>
    <t xml:space="preserve">How it is used</t>
  </si>
  <si>
    <t xml:space="preserve">Percutaneous coronary intervention</t>
  </si>
  <si>
    <t xml:space="preserve">CPT4</t>
  </si>
  <si>
    <t xml:space="preserve">92920–92944, 92980–92984</t>
  </si>
  <si>
    <t xml:space="preserve">929(2\d|3\d|4[0-4]), 9298[0-4]</t>
  </si>
  <si>
    <t xml:space="preserve">Evidence (coronary_procedure vote); also creates an evidence-only candidate</t>
  </si>
  <si>
    <t xml:space="preserve">After index; reviewed -1 to +3 days around candidates</t>
  </si>
  <si>
    <t xml:space="preserve">ICD10PCS</t>
  </si>
  <si>
    <t xml:space="preserve">0270*, 0271*, 0272*, 0273*</t>
  </si>
  <si>
    <t xml:space="preserve">027[0-3]</t>
  </si>
  <si>
    <t xml:space="preserve">Coronary angiography</t>
  </si>
  <si>
    <t xml:space="preserve">93454–93461, 93501, 93508</t>
  </si>
  <si>
    <t xml:space="preserve">934(5[4-9]|6[01]), 9350[18]</t>
  </si>
  <si>
    <t xml:space="preserve">Evidence (coronary_procedure vote)</t>
  </si>
  <si>
    <t xml:space="preserve">B210*, B211*</t>
  </si>
  <si>
    <t xml:space="preserve">B21[01]</t>
  </si>
  <si>
    <t xml:space="preserve">Head CT</t>
  </si>
  <si>
    <t xml:space="preserve">70450, 70460, 70470, 70496</t>
  </si>
  <si>
    <t xml:space="preserve">Evidence (neuroimaging vote)</t>
  </si>
  <si>
    <t xml:space="preserve">B020*</t>
  </si>
  <si>
    <t xml:space="preserve">B020</t>
  </si>
  <si>
    <t xml:space="preserve">Head / brain MRI</t>
  </si>
  <si>
    <t xml:space="preserve">70544–70546, 70551–70553</t>
  </si>
  <si>
    <t xml:space="preserve">7055[1-3], 7054[4-6]</t>
  </si>
  <si>
    <t xml:space="preserve">B030*</t>
  </si>
  <si>
    <t xml:space="preserve">B030</t>
  </si>
  <si>
    <t xml:space="preserve">Echocardiogram</t>
  </si>
  <si>
    <t xml:space="preserve">93303–93308, 93312–93318, 93350–93351</t>
  </si>
  <si>
    <t xml:space="preserve">9330[3-8], 9331[2-8], 9335[01]</t>
  </si>
  <si>
    <t xml:space="preserve">Evidence (echo vote; LVEF for HFrEF/HFpEF subtype)</t>
  </si>
  <si>
    <t xml:space="preserve">After index; reviewed -2 to +3 days around candidates</t>
  </si>
  <si>
    <t xml:space="preserve">B24*</t>
  </si>
  <si>
    <t xml:space="preserve">B24</t>
  </si>
  <si>
    <t xml:space="preserve">Thrombolysis</t>
  </si>
  <si>
    <t xml:space="preserve">37195</t>
  </si>
  <si>
    <t xml:space="preserve">Evidence (reperfusion vote); also creates an evidence-only candidate</t>
  </si>
  <si>
    <t xml:space="preserve">3E03317</t>
  </si>
  <si>
    <t xml:space="preserve">Mechanical thrombectomy</t>
  </si>
  <si>
    <t xml:space="preserve">61645</t>
  </si>
  <si>
    <t xml:space="preserve">03CG3*, 03CH3*, 03CJ3*, 03CK3*, 03CL3*, 03CM3*, 03CN3*, 03CP3*, 03CQ3*, 03CR3*, 03CS3*, 03CT3*, 03CU3*, 03CV3*</t>
  </si>
  <si>
    <t xml:space="preserve">03C[G-V]3</t>
  </si>
  <si>
    <t xml:space="preserve">Cardiopulmonary resuscitation</t>
  </si>
  <si>
    <t xml:space="preserve">92950</t>
  </si>
  <si>
    <t xml:space="preserve">Evidence (resuscitation vote); also creates an evidence-only candidate</t>
  </si>
  <si>
    <t xml:space="preserve">After index; reviewed -1 to +1 days around candidates</t>
  </si>
  <si>
    <t xml:space="preserve">5A12012</t>
  </si>
  <si>
    <t xml:space="preserve">Defibrillation / cardioversion (ICD-10-PCS 5A2204Z)</t>
  </si>
  <si>
    <t xml:space="preserve">5A2204Z</t>
  </si>
  <si>
    <t xml:space="preserve">Evidence (resuscitation vote)</t>
  </si>
  <si>
    <t xml:space="preserve">Elective cardioversion</t>
  </si>
  <si>
    <t xml:space="preserve">92960–92961</t>
  </si>
  <si>
    <t xml:space="preserve">9296[01]</t>
  </si>
  <si>
    <t xml:space="preserve">Evidence (cardioversion vote); also creates an evidence-only candidate</t>
  </si>
  <si>
    <t xml:space="preserve">After index; reviewed -30 to +30 days around candidates</t>
  </si>
  <si>
    <t xml:space="preserve">Implantable cardioverter-defibrillator implant</t>
  </si>
  <si>
    <t xml:space="preserve">33230–33231, 33240, 33249, 33270</t>
  </si>
  <si>
    <t xml:space="preserve">3324[09], 3323[01], 33270</t>
  </si>
  <si>
    <t xml:space="preserve">Context shown to adjudicators</t>
  </si>
  <si>
    <t xml:space="preserve">0JH608Z, 0JH609Z, 0JH808Z, 0JH809Z</t>
  </si>
  <si>
    <t xml:space="preserve">0JH[68]0[89]Z</t>
  </si>
  <si>
    <t xml:space="preserve">Cardiac surgery (CABG, valve replacement)</t>
  </si>
  <si>
    <t xml:space="preserve">33405–33430, 33510–33536</t>
  </si>
  <si>
    <t xml:space="preserve">335(1\d|2\d|3[0-6]), 334(0[5-9]|1\d|2\d|30)</t>
  </si>
  <si>
    <t xml:space="preserve">Rule O2: AF ≤ 30 days after cardiac surgery is post-operative, not new-onset</t>
  </si>
  <si>
    <t xml:space="preserve">After index; 30 days before an AF candidate</t>
  </si>
  <si>
    <t xml:space="preserve">02100*, 02110*, 02120*, 02130*, 02RF0*, 02RG0*, 02RH0*, 02RJ0*</t>
  </si>
  <si>
    <t xml:space="preserve">021[0-3]0, 02R[FGHJ]0</t>
  </si>
  <si>
    <t xml:space="preserve">Medications (OMOP drug_exposure)</t>
  </si>
  <si>
    <t xml:space="preserve">ATC classes are mapped to every descendant RxNorm concept in the workspace (concept_ancestor), so no RxNorm list is needed from MCP.</t>
  </si>
  <si>
    <t xml:space="preserve">ATC code</t>
  </si>
  <si>
    <t xml:space="preserve">ATC class</t>
  </si>
  <si>
    <t xml:space="preserve">OMOP table / mapping</t>
  </si>
  <si>
    <t xml:space="preserve">Statin</t>
  </si>
  <si>
    <t xml:space="preserve">ATC</t>
  </si>
  <si>
    <t xml:space="preserve">C10AA</t>
  </si>
  <si>
    <t xml:space="preserve">HMG CoA reductase inhibitors (statins)</t>
  </si>
  <si>
    <t xml:space="preserve">drug_exposure (RxNorm concepts that descend from the ATC class via concept_ancestor)</t>
  </si>
  <si>
    <t xml:space="preserve">Any exposure in the 365 days before index</t>
  </si>
  <si>
    <t xml:space="preserve">Ingredient-level mapping; all routes and formulations</t>
  </si>
  <si>
    <t xml:space="preserve">C10BA</t>
  </si>
  <si>
    <t xml:space="preserve">Statin combinations with other lipid-modifying agents</t>
  </si>
  <si>
    <t xml:space="preserve">C10BX</t>
  </si>
  <si>
    <t xml:space="preserve">Statins, other combinations</t>
  </si>
  <si>
    <t xml:space="preserve">Aspirin</t>
  </si>
  <si>
    <t xml:space="preserve">B01AC06</t>
  </si>
  <si>
    <t xml:space="preserve">Acetylsalicylic acid (aspirin)</t>
  </si>
  <si>
    <t xml:space="preserve">ACE-I/ARB</t>
  </si>
  <si>
    <t xml:space="preserve">C09</t>
  </si>
  <si>
    <t xml:space="preserve">Agents acting on the renin–angiotensin system (ACE inhibitors, ARBs)</t>
  </si>
  <si>
    <t xml:space="preserve">Beta Blocker</t>
  </si>
  <si>
    <t xml:space="preserve">C07</t>
  </si>
  <si>
    <t xml:space="preserve">Beta-blocking agents</t>
  </si>
  <si>
    <t xml:space="preserve">Anticoagulant</t>
  </si>
  <si>
    <t xml:space="preserve">B01AA</t>
  </si>
  <si>
    <t xml:space="preserve">Vitamin K antagonists (e.g. warfarin)</t>
  </si>
  <si>
    <t xml:space="preserve">B01AE</t>
  </si>
  <si>
    <t xml:space="preserve">Direct thrombin inhibitors (e.g. dabigatran)</t>
  </si>
  <si>
    <t xml:space="preserve">B01AF</t>
  </si>
  <si>
    <t xml:space="preserve">Direct factor Xa inhibitors (e.g. apixaban, rivaroxaban)</t>
  </si>
  <si>
    <t xml:space="preserve">Any antihypertensive</t>
  </si>
  <si>
    <t xml:space="preserve">C02</t>
  </si>
  <si>
    <t xml:space="preserve">Antihypertensives (centrally/peripherally acting)</t>
  </si>
  <si>
    <t xml:space="preserve">C03</t>
  </si>
  <si>
    <t xml:space="preserve">Diuretics</t>
  </si>
  <si>
    <t xml:space="preserve">C08</t>
  </si>
  <si>
    <t xml:space="preserve">Calcium channel blockers</t>
  </si>
  <si>
    <t xml:space="preserve">Clinical notes and reports</t>
  </si>
  <si>
    <t xml:space="preserve">Notes are read only inside the workspace (keyword prefilter in SQL, NLP in Python). Note text never leaves the workspace.</t>
  </si>
  <si>
    <t xml:space="preserve">Source</t>
  </si>
  <si>
    <t xml:space="preserve">Columns</t>
  </si>
  <si>
    <t xml:space="preserve">Text filter</t>
  </si>
  <si>
    <t xml:space="preserve">Note types</t>
  </si>
  <si>
    <t xml:space="preserve">Coronary artery calcium (Agatston)</t>
  </si>
  <si>
    <t xml:space="preserve">OMOP note (radiology reports = FACT_RADIOLOGY.RADIOLOGY_REPORT)</t>
  </si>
  <si>
    <t xml:space="preserve">730 days up to index</t>
  </si>
  <si>
    <t xml:space="preserve">Text filter: agatston | calcium score</t>
  </si>
  <si>
    <t xml:space="preserve">Radiology reports</t>
  </si>
  <si>
    <t xml:space="preserve">LV ejection fraction</t>
  </si>
  <si>
    <t xml:space="preserve">OMOP note + native FACT_ECHO_TEST.ECHO_NOTE</t>
  </si>
  <si>
    <t xml:space="preserve">ECHO_NOTE (confirmed); patient key, echo date, echo id (to confirm)</t>
  </si>
  <si>
    <t xml:space="preserve">Text filter: ejection fraction | lvef</t>
  </si>
  <si>
    <t xml:space="preserve">Echo and imaging reports</t>
  </si>
  <si>
    <t xml:space="preserve">AMI, Stroke, HF, SCD, AF</t>
  </si>
  <si>
    <t xml:space="preserve">OMOP note</t>
  </si>
  <si>
    <t xml:space="preserve">−3 to +30 days around each candidate (labelling reads AMI -1 to +7; Stroke -1 to +7; HF -2 to +7; SCD -1 to +7; AF -3 to +30)</t>
  </si>
  <si>
    <t xml:space="preserve">Keyword prefilter: infarct|stemi|troponin|acute coronary|stroke|cva|hemorrhage|transient ischemic|tia|heart failure|chf|ejection fraction|lvef|bnp|diuresis|cardiac arrest|rosc|ventricular (fibrillation|tachycardia)|vf|vt|nsvt|atrial fib|atrial flutter|afib</t>
  </si>
  <si>
    <t xml:space="preserve">Discharge summaries, progress notes, ED notes, imaging reports</t>
  </si>
  <si>
    <t xml:space="preserve">Event-window echo reports</t>
  </si>
  <si>
    <t xml:space="preserve">Adjudication evidence (HFrEF / HFpEF subtype)</t>
  </si>
  <si>
    <t xml:space="preserve">native FACT_ECHO_TEST.ECHO_NOTE</t>
  </si>
  <si>
    <t xml:space="preserve">as above</t>
  </si>
  <si>
    <t xml:space="preserve">-7 to +30 days around each candidate</t>
  </si>
  <si>
    <t xml:space="preserve">None (all echo reports in the window)</t>
  </si>
  <si>
    <t xml:space="preserve">Echo reports</t>
  </si>
  <si>
    <t xml:space="preserve">Neuroimaging reports</t>
  </si>
  <si>
    <t xml:space="preserve">OMOP note (FACT_RADIOLOGY)</t>
  </si>
  <si>
    <t xml:space="preserve">−3 to +30 days around each candidate</t>
  </si>
  <si>
    <t xml:space="preserve">Keyword prefilter (as above)</t>
  </si>
  <si>
    <t xml:space="preserve">Head CT / MRI reports: infarct, hemorrhage, negative study</t>
  </si>
  <si>
    <t xml:space="preserve">Concept IDs are standard OMOP concepts; please confirm the primary-diagnosis status values (Open confirmations #3).</t>
  </si>
  <si>
    <t xml:space="preserve">Concept IDs / values</t>
  </si>
  <si>
    <t xml:space="preserve">Window</t>
  </si>
  <si>
    <t xml:space="preserve">Age</t>
  </si>
  <si>
    <t xml:space="preserve">year_of_birth, month_of_birth, day_of_birth (birth_datetime)</t>
  </si>
  <si>
    <t xml:space="preserve">—</t>
  </si>
  <si>
    <t xml:space="preserve">Age at index; eligible 18–89</t>
  </si>
  <si>
    <t xml:space="preserve">Model input; eligibility I1/E1/E2</t>
  </si>
  <si>
    <t xml:space="preserve">Sex</t>
  </si>
  <si>
    <t xml:space="preserve">gender_concept_id</t>
  </si>
  <si>
    <t xml:space="preserve">8507 = male, 8532 = female</t>
  </si>
  <si>
    <t xml:space="preserve">Others excluded (E3)</t>
  </si>
  <si>
    <t xml:space="preserve">Model input; eligibility I5</t>
  </si>
  <si>
    <t xml:space="preserve">Race</t>
  </si>
  <si>
    <t xml:space="preserve">race_concept_id</t>
  </si>
  <si>
    <t xml:space="preserve">8527 = white, 8516 = black, 8515 = asian; any other = other</t>
  </si>
  <si>
    <t xml:space="preserve">Model input</t>
  </si>
  <si>
    <t xml:space="preserve">Ethnicity</t>
  </si>
  <si>
    <t xml:space="preserve">ethnicity_concept_id</t>
  </si>
  <si>
    <t xml:space="preserve">38003563 = Hispanic or Latino (→ race 'hispanic')</t>
  </si>
  <si>
    <t xml:space="preserve">Index visit</t>
  </si>
  <si>
    <t xml:space="preserve">visit_occurrence_id, visit_concept_id, visit_start_date</t>
  </si>
  <si>
    <t xml:space="preserve">9202 = outpatient visit</t>
  </si>
  <si>
    <t xml:space="preserve">2012-01-01 to 2019-12-31; one random eligible visit per patient</t>
  </si>
  <si>
    <t xml:space="preserve">Eligibility I2</t>
  </si>
  <si>
    <t xml:space="preserve">AMI, Stroke, HF, SCD</t>
  </si>
  <si>
    <t xml:space="preserve">Acute care setting of a candidate</t>
  </si>
  <si>
    <t xml:space="preserve">visit_concept_id, visit_start_date, visit_end_date</t>
  </si>
  <si>
    <t xml:space="preserve">9201 = inpatient, 9203 = emergency room, 262 = ER and inpatient</t>
  </si>
  <si>
    <t xml:space="preserve">Visit containing the candidate code</t>
  </si>
  <si>
    <t xml:space="preserve">Adjudication evidence (acute_visit vote)</t>
  </si>
  <si>
    <t xml:space="preserve">Observation time</t>
  </si>
  <si>
    <t xml:space="preserve">observation_period_start_date, observation_period_end_date</t>
  </si>
  <si>
    <t xml:space="preserve">≥ 365 days before index; &gt; 0 days after</t>
  </si>
  <si>
    <t xml:space="preserve">Eligibility I3/E5; follow-up and censoring</t>
  </si>
  <si>
    <t xml:space="preserve">Death</t>
  </si>
  <si>
    <t xml:space="preserve">death_date, cause_concept_id</t>
  </si>
  <si>
    <t xml:space="preserve">Any date</t>
  </si>
  <si>
    <t xml:space="preserve">Exclusion E4; censoring; SCD evidence (death within 1 day)</t>
  </si>
  <si>
    <t xml:space="preserve">Primary diagnosis</t>
  </si>
  <si>
    <t xml:space="preserve">condition_status_concept_id (or condition_type_concept_id)</t>
  </si>
  <si>
    <t xml:space="preserve">32901, 32902 = primary / principal (to confirm with MCP)</t>
  </si>
  <si>
    <t xml:space="preserve">Candidate code rows</t>
  </si>
  <si>
    <t xml:space="preserve">Adjudication evidence (primary_dx vote)</t>
  </si>
  <si>
    <t xml:space="preserve">Diagnosis codes</t>
  </si>
  <si>
    <t xml:space="preserve">condition_occurrence; observation</t>
  </si>
  <si>
    <t xml:space="preserve">*_concept_id, *_source_concept_id, *_source_value, *_date, visit_occurrence_id</t>
  </si>
  <si>
    <t xml:space="preserve">ICD10CM, ICD9CM source concepts</t>
  </si>
  <si>
    <t xml:space="preserve">See History and Outcome tabs</t>
  </si>
  <si>
    <t xml:space="preserve">concept; concept_ancestor</t>
  </si>
  <si>
    <t xml:space="preserve">concept_id, concept_code, vocabulary_id, concept_name; ancestor/descendant ids</t>
  </si>
  <si>
    <t xml:space="preserve">Vocabularies: ICD10CM, ICD9CM, LOINC, CPT4, ICD10PCS, ATC, RxNorm, UCUM</t>
  </si>
  <si>
    <t xml:space="preserve">Maps every code in this workbook to concept_ids</t>
  </si>
  <si>
    <t xml:space="preserve">Measurement units</t>
  </si>
  <si>
    <t xml:space="preserve">measurement; concept</t>
  </si>
  <si>
    <t xml:space="preserve">unit_concept_id, unit_source_value, value_as_number, range_high</t>
  </si>
  <si>
    <t xml:space="preserve">UCUM</t>
  </si>
  <si>
    <t xml:space="preserve">Unit harmonisation (e.g. cholesterol mmol/L → mg/dL)</t>
  </si>
  <si>
    <t xml:space="preserve">Inclusion and exclusion criteria</t>
  </si>
  <si>
    <t xml:space="preserve">Adults 18–89 only; pediatric patients (under 18) are excluded from training, validation and use.</t>
  </si>
  <si>
    <t xml:space="preserve">ID</t>
  </si>
  <si>
    <t xml:space="preserve">Type</t>
  </si>
  <si>
    <t xml:space="preserve">Criterion</t>
  </si>
  <si>
    <t xml:space="preserve">Applies to</t>
  </si>
  <si>
    <t xml:space="preserve">Lower bound</t>
  </si>
  <si>
    <t xml:space="preserve">Upper bound</t>
  </si>
  <si>
    <t xml:space="preserve">Enforced in</t>
  </si>
  <si>
    <t xml:space="preserve">I1</t>
  </si>
  <si>
    <t xml:space="preserve">Inclusion</t>
  </si>
  <si>
    <t xml:space="preserve">Age 18–89 years at the index visit (age ≥ 18.0 and &lt; 90.0)</t>
  </si>
  <si>
    <t xml:space="preserve">All 5 calculators</t>
  </si>
  <si>
    <t xml:space="preserve">18 years (inclusive)</t>
  </si>
  <si>
    <t xml:space="preserve">89 years (inclusive; &lt; 90)</t>
  </si>
  <si>
    <t xml:space="preserve">cohort SQL; API validation</t>
  </si>
  <si>
    <t xml:space="preserve">I2</t>
  </si>
  <si>
    <t xml:space="preserve">An outpatient visit between 2012-01-01 and 2019-12-31 (one index visit per patient, chosen at random among eligible visits)</t>
  </si>
  <si>
    <t xml:space="preserve">cohort SQL</t>
  </si>
  <si>
    <t xml:space="preserve">I3</t>
  </si>
  <si>
    <t xml:space="preserve">At least 365 days of observation before the index visit</t>
  </si>
  <si>
    <t xml:space="preserve">I4</t>
  </si>
  <si>
    <t xml:space="preserve">Total cholesterol or HDL cholesterol measured in the 365 days before the index visit</t>
  </si>
  <si>
    <t xml:space="preserve">I5</t>
  </si>
  <si>
    <t xml:space="preserve">Recorded sex male or female (the models and published equations are sex-specific)</t>
  </si>
  <si>
    <t xml:space="preserve">E1</t>
  </si>
  <si>
    <t xml:space="preserve">Exclusion</t>
  </si>
  <si>
    <t xml:space="preserve">Age under 18 at the index visit (pediatric)</t>
  </si>
  <si>
    <t xml:space="preserve">&lt; 18 years</t>
  </si>
  <si>
    <t xml:space="preserve">cohort SQL; audit (fail); API refuses</t>
  </si>
  <si>
    <t xml:space="preserve">E2</t>
  </si>
  <si>
    <t xml:space="preserve">Age 90 or over at the index visit (top-coded in de-identified data)</t>
  </si>
  <si>
    <t xml:space="preserve">≥ 90 years</t>
  </si>
  <si>
    <t xml:space="preserve">E3</t>
  </si>
  <si>
    <t xml:space="preserve">Sex not recorded as male or female</t>
  </si>
  <si>
    <t xml:space="preserve">E4</t>
  </si>
  <si>
    <t xml:space="preserve">Death recorded on or before the index date</t>
  </si>
  <si>
    <t xml:space="preserve">E5</t>
  </si>
  <si>
    <t xml:space="preserve">No observation time after the index date (no follow-up)</t>
  </si>
  <si>
    <t xml:space="preserve">E6</t>
  </si>
  <si>
    <t xml:space="preserve">Known atrial fibrillation or flutter at the index visit</t>
  </si>
  <si>
    <t xml:space="preserve">AF training labels; API returns 'not applicable'</t>
  </si>
  <si>
    <t xml:space="preserve">O1</t>
  </si>
  <si>
    <t xml:space="preserve">Outcome rule</t>
  </si>
  <si>
    <t xml:space="preserve">Type 2 (supply/demand) MI is not counted as an AMI event (the patient stays in the cohort)</t>
  </si>
  <si>
    <t xml:space="preserve">Labelling governance (data/governance.json)</t>
  </si>
  <si>
    <t xml:space="preserve">O2</t>
  </si>
  <si>
    <t xml:space="preserve">Post-operative AF (≤ 30 days after cardiac surgery) is not counted as new-onset AF (the patient stays in the cohort)</t>
  </si>
  <si>
    <t xml:space="preserve">O3</t>
  </si>
  <si>
    <t xml:space="preserve">Only the first event of each outcome after the index date is counted (the patient stays in the cohort)</t>
  </si>
  <si>
    <t xml:space="preserve">R</t>
  </si>
  <si>
    <t xml:space="preserve">Reference equation range</t>
  </si>
  <si>
    <t xml:space="preserve">Pooled Cohort Equations: validated 40–79 years; outside it the app shows the equation as not applicable</t>
  </si>
  <si>
    <t xml:space="preserve">Reference only</t>
  </si>
  <si>
    <t xml:space="preserve">cardioai_core/equations.py</t>
  </si>
  <si>
    <t xml:space="preserve">CHARGE-AF: validated 46–94 years (used here up to 89); outside it the app shows the equation as not applicable</t>
  </si>
  <si>
    <t xml:space="preserve">CHA₂DS₂-VASc: validated adults with AF; outside it the app shows the equation as not applicable</t>
  </si>
  <si>
    <t xml:space="preserve">ICD criteria: validated adults; outside it the app shows the equation as not applicable</t>
  </si>
  <si>
    <t xml:space="preserve">Python packages imported by the code</t>
  </si>
  <si>
    <t xml:space="preserve">Install with: pip install -r requirements-training.txt (pyspark comes from the workspace Spark runtime). 'Installed, not used' packages come in through requirements.txt for the web app.</t>
  </si>
  <si>
    <t xml:space="preserve">Package</t>
  </si>
  <si>
    <t xml:space="preserve">Version</t>
  </si>
  <si>
    <t xml:space="preserve">What it is for</t>
  </si>
  <si>
    <t xml:space="preserve">Imported by</t>
  </si>
  <si>
    <t xml:space="preserve">Workspace need</t>
  </si>
  <si>
    <t xml:space="preserve">pyspark</t>
  </si>
  <si>
    <t xml:space="preserve">Workspace Spark runtime (do not pip install)</t>
  </si>
  <si>
    <t xml:space="preserve">Spark SQL extraction from OMOP / FACT tables</t>
  </si>
  <si>
    <t xml:space="preserve">training/extract.py</t>
  </si>
  <si>
    <t xml:space="preserve">Required</t>
  </si>
  <si>
    <t xml:space="preserve">Provided by MCP; tested with Spark 4.0.1</t>
  </si>
  <si>
    <t xml:space="preserve">pyarrow</t>
  </si>
  <si>
    <t xml:space="preserve">&gt;=17</t>
  </si>
  <si>
    <t xml:space="preserve">Fast Spark → pandas transfer (spark.sql.execution.arrow)</t>
  </si>
  <si>
    <t xml:space="preserve">requirements-training.txt</t>
  </si>
  <si>
    <t xml:space="preserve">numpy</t>
  </si>
  <si>
    <t xml:space="preserve">2.5.3</t>
  </si>
  <si>
    <t xml:space="preserve">Numerical work</t>
  </si>
  <si>
    <t xml:space="preserve">training/*, curation/*, cardioai_core/bundle.py</t>
  </si>
  <si>
    <t xml:space="preserve">requirements.txt</t>
  </si>
  <si>
    <t xml:space="preserve">pandas</t>
  </si>
  <si>
    <t xml:space="preserve">3.0.5</t>
  </si>
  <si>
    <t xml:space="preserve">Data frames for extracts, labels, audit</t>
  </si>
  <si>
    <t xml:space="preserve">training/*, curation/*</t>
  </si>
  <si>
    <t xml:space="preserve">scikit-learn</t>
  </si>
  <si>
    <t xml:space="preserve">1.9.1</t>
  </si>
  <si>
    <t xml:space="preserve">Model training and calibration</t>
  </si>
  <si>
    <t xml:space="preserve">training/train.py, cardioai_core/bundle.py, curation/pipeline.py</t>
  </si>
  <si>
    <t xml:space="preserve">requirements.txt (import name sklearn)</t>
  </si>
  <si>
    <t xml:space="preserve">joblib</t>
  </si>
  <si>
    <t xml:space="preserve">1.6.0</t>
  </si>
  <si>
    <t xml:space="preserve">Saving the model bundle</t>
  </si>
  <si>
    <t xml:space="preserve">training/train.py, cardioai_core/bundle.py</t>
  </si>
  <si>
    <t xml:space="preserve">sqlalchemy</t>
  </si>
  <si>
    <t xml:space="preserve">2.1.5</t>
  </si>
  <si>
    <t xml:space="preserve">Curation workbench store (local SQLite in the workspace)</t>
  </si>
  <si>
    <t xml:space="preserve">curation/*</t>
  </si>
  <si>
    <t xml:space="preserve">fastapi</t>
  </si>
  <si>
    <t xml:space="preserve">0.146.0</t>
  </si>
  <si>
    <t xml:space="preserve">Curation workbench web server (127.0.0.1 only)</t>
  </si>
  <si>
    <t xml:space="preserve">curation/server.py</t>
  </si>
  <si>
    <t xml:space="preserve">uvicorn[standard]</t>
  </si>
  <si>
    <t xml:space="preserve">0.53.0</t>
  </si>
  <si>
    <t xml:space="preserve">Runs the curation workbench</t>
  </si>
  <si>
    <t xml:space="preserve">pydantic</t>
  </si>
  <si>
    <t xml:space="preserve">(installed with fastapi)</t>
  </si>
  <si>
    <t xml:space="preserve">Request validation in the workbench</t>
  </si>
  <si>
    <t xml:space="preserve">dependency of fastapi</t>
  </si>
  <si>
    <t xml:space="preserve">PyJWT</t>
  </si>
  <si>
    <t xml:space="preserve">2.14.0</t>
  </si>
  <si>
    <t xml:space="preserve">Workbench sign-in tokens</t>
  </si>
  <si>
    <t xml:space="preserve">curation/server.py, cardioai_core/security.py</t>
  </si>
  <si>
    <t xml:space="preserve">requirements.txt (import name jwt)</t>
  </si>
  <si>
    <t xml:space="preserve">psycopg[binary]</t>
  </si>
  <si>
    <t xml:space="preserve">&gt;=3.2</t>
  </si>
  <si>
    <t xml:space="preserve">Postgres driver for the Render app</t>
  </si>
  <si>
    <t xml:space="preserve">app/</t>
  </si>
  <si>
    <t xml:space="preserve">Installed, not used in workspace</t>
  </si>
  <si>
    <t xml:space="preserve">cryptography</t>
  </si>
  <si>
    <t xml:space="preserve">50.0.2</t>
  </si>
  <si>
    <t xml:space="preserve">MFA secret encryption in the Render app</t>
  </si>
  <si>
    <t xml:space="preserve">app/mfa.py</t>
  </si>
  <si>
    <t xml:space="preserve">segno</t>
  </si>
  <si>
    <t xml:space="preserve">1.6.6</t>
  </si>
  <si>
    <t xml:space="preserve">MFA QR codes in the Render app</t>
  </si>
  <si>
    <t xml:space="preserve">pytest</t>
  </si>
  <si>
    <t xml:space="preserve">&gt;=8</t>
  </si>
  <si>
    <t xml:space="preserve">Workspace self-test (Runbook 1.2)</t>
  </si>
  <si>
    <t xml:space="preserve">tests/</t>
  </si>
  <si>
    <t xml:space="preserve">Recommended</t>
  </si>
  <si>
    <t xml:space="preserve">requirements-dev.txt</t>
  </si>
  <si>
    <t xml:space="preserve">httpx2</t>
  </si>
  <si>
    <t xml:space="preserve">&gt;=2.13</t>
  </si>
  <si>
    <t xml:space="preserve">Test client for the workbench tests</t>
  </si>
  <si>
    <t xml:space="preserve">simple-icd-10-cm</t>
  </si>
  <si>
    <t xml:space="preserve">1.5.0</t>
  </si>
  <si>
    <t xml:space="preserve">Regenerating the candidate code CSV</t>
  </si>
  <si>
    <t xml:space="preserve">training/codelists.py</t>
  </si>
  <si>
    <t xml:space="preserve">Not needed in workspace</t>
  </si>
  <si>
    <t xml:space="preserve">Development only; the CSV is committed</t>
  </si>
  <si>
    <t xml:space="preserve">icd9cms</t>
  </si>
  <si>
    <t xml:space="preserve">0.2.1</t>
  </si>
  <si>
    <t xml:space="preserve">Development only</t>
  </si>
  <si>
    <t xml:space="preserve">openpyxl</t>
  </si>
  <si>
    <t xml:space="preserve">&gt;=3.1</t>
  </si>
  <si>
    <t xml:space="preserve">Reading the ICD-9-CM description file</t>
  </si>
  <si>
    <t xml:space="preserve">Python standard library</t>
  </si>
  <si>
    <t xml:space="preserve">Python 3.12</t>
  </si>
  <si>
    <t xml:space="preserve">argparse, csv, json, re, math, datetime, hashlib, hmac, secrets, logging, pathlib, decimal, dataclasses, functools, collections, shutil, getpass, base64, io, copy</t>
  </si>
  <si>
    <t xml:space="preserve">all</t>
  </si>
  <si>
    <t xml:space="preserve">Python ≥ 3.11; tested on 3.12</t>
  </si>
  <si>
    <t xml:space="preserve">Questions that need MCP's answer</t>
  </si>
  <si>
    <t xml:space="preserve">Yellow cells are for MCP: fill in the response, who answered and when.</t>
  </si>
  <si>
    <t xml:space="preserve">#</t>
  </si>
  <si>
    <t xml:space="preserve">Topic</t>
  </si>
  <si>
    <t xml:space="preserve">Question for MCP</t>
  </si>
  <si>
    <t xml:space="preserve">Why it matters</t>
  </si>
  <si>
    <t xml:space="preserve">What it blocks / where it is used</t>
  </si>
  <si>
    <t xml:space="preserve">Needed by</t>
  </si>
  <si>
    <t xml:space="preserve">MCP response</t>
  </si>
  <si>
    <t xml:space="preserve">Answered by / date</t>
  </si>
  <si>
    <t xml:space="preserve">Echo data (FACT_ECHO_TEST)</t>
  </si>
  <si>
    <t xml:space="preserve">Which columns hold the patient key, the echo date/time and the echo id, and how does the patient key map to OMOP person_id?</t>
  </si>
  <si>
    <t xml:space="preserve">LVEF from echo notes is an input and an HF subtype source; the extract must join echo notes to the cohort.</t>
  </si>
  <si>
    <t xml:space="preserve">Echo extraction refuses to run until set (training/native_sources.json). Runbook Phase 2.</t>
  </si>
  <si>
    <t xml:space="preserve">Before extraction (Phase 3)</t>
  </si>
  <si>
    <t xml:space="preserve">Open</t>
  </si>
  <si>
    <t xml:space="preserve">Table locations</t>
  </si>
  <si>
    <t xml:space="preserve">What are the Spark catalog/schema names for the OMOP CDM tables and the native FACT_* tables? Does OMOP note hold all FACT_RADIOLOGY reports?</t>
  </si>
  <si>
    <t xml:space="preserve">The Spark SQL extract needs exact table names; radiology reports supply CAC and stroke imaging evidence.</t>
  </si>
  <si>
    <t xml:space="preserve">Extraction configuration (training/extract.py, preflight). Runbook Phase 2.</t>
  </si>
  <si>
    <t xml:space="preserve">Which condition_status_concept_id / condition_type_concept_id values mark a primary (principal) diagnosis in Mayo's OMOP data?</t>
  </si>
  <si>
    <t xml:space="preserve">The 'primary_dx' labelling function votes for events coded as primary.</t>
  </si>
  <si>
    <t xml:space="preserve">Auto-labelling accuracy for AMI, stroke, HF and SCD (training/codesets.py PRIMARY_STATUS).</t>
  </si>
  <si>
    <t xml:space="preserve">Before labelling (Phase 5)</t>
  </si>
  <si>
    <t xml:space="preserve">Troponin assay history</t>
  </si>
  <si>
    <t xml:space="preserve">On what date did Mayo switch from conventional troponin T to hs-troponin T Gen 5, and is measurement.range_high populated?</t>
  </si>
  <si>
    <t xml:space="preserve">AMI labels depend on troponin above the upper reference limit with a rise/fall; the limit differs by assay.</t>
  </si>
  <si>
    <t xml:space="preserve">AMI auto-labels and the reference limits shown to readers.</t>
  </si>
  <si>
    <t xml:space="preserve">Death data completeness</t>
  </si>
  <si>
    <t xml:space="preserve">How complete is death data for deaths outside Mayo (e.g. state death-index linkage), and from what date?</t>
  </si>
  <si>
    <t xml:space="preserve">Sudden cardiac death outside hospital is otherwise under-captured; death also censors follow-up.</t>
  </si>
  <si>
    <t xml:space="preserve">SCD endpoint validity; follow-up and censoring for all calculators.</t>
  </si>
  <si>
    <t xml:space="preserve">Before training (Phase 9)</t>
  </si>
  <si>
    <t xml:space="preserve">Model export review</t>
  </si>
  <si>
    <t xml:space="preserve">Is the cell-suppression threshold &lt; 11 correct, and what are the export-review steps, reviewers and expected turnaround?</t>
  </si>
  <si>
    <t xml:space="preserve">Only the reviewed model bundle (weights + aggregate metrics) may leave the workspace.</t>
  </si>
  <si>
    <t xml:space="preserve">Release of the trained bundle to Render (Runbook Phase 10).</t>
  </si>
  <si>
    <t xml:space="preserve">Before deployment (Phase 10)</t>
  </si>
  <si>
    <t xml:space="preserve">Hosting the exported model</t>
  </si>
  <si>
    <t xml:space="preserve">Does the CardioAI agreement allow hosting the export-approved model bundle in private object storage and serving it from the Render web app?</t>
  </si>
  <si>
    <t xml:space="preserve">The live calculators load the bundle from MODEL_BUNDLE_URL.</t>
  </si>
  <si>
    <t xml:space="preserve">Switching the live app from demo to Mayo-trained models.</t>
  </si>
  <si>
    <t xml:space="preserve">Annotator seats</t>
  </si>
  <si>
    <t xml:space="preserve">Are the 5 annotator seats (cardioailive.com accounts) separate from the data scientists' workspace seats?</t>
  </si>
  <si>
    <t xml:space="preserve">Staffing for adjudication: up to 5 cardiologist readers plus data scientists.</t>
  </si>
  <si>
    <t xml:space="preserve">Reader accounts in the curation workbench (reader_policy).</t>
  </si>
  <si>
    <t xml:space="preserve">Before adjudication (Phase 7)</t>
  </si>
  <si>
    <t xml:space="preserve">Training in the workspace</t>
  </si>
  <si>
    <t xml:space="preserve">May the synthetic-data training environment and a second curation workbench (port 8091, localhost via JupyterLab) run in the workspace, and may annotator seats be used for training before live adjudication?</t>
  </si>
  <si>
    <t xml:space="preserve">The Label &amp; Annotation Training Program runs inside the workspace on synthetic data.</t>
  </si>
  <si>
    <t xml:space="preserve">Training sessions 1-8 and reader certification.</t>
  </si>
  <si>
    <t xml:space="preserve">Before training session 1</t>
  </si>
  <si>
    <t xml:space="preserve">Platform_Validate (optional)</t>
  </si>
  <si>
    <t xml:space="preserve">Is Platform_Validate available for an independent bias / sensitivity / specificity report on the trained bundle, and what does submission involve?</t>
  </si>
  <si>
    <t xml:space="preserve">Independent validation strengthens the clinical and regulatory case.</t>
  </si>
  <si>
    <t xml:space="preserve">Optional step in Runbook Phase 10.</t>
  </si>
  <si>
    <t xml:space="preserve">After training (optional)</t>
  </si>
  <si>
    <t xml:space="preserve">Age top-coding</t>
  </si>
  <si>
    <t xml:space="preserve">Are ages 90 and over top-coded ("90+") in the de-identified data, and are dates of birth or ages shifted? Confirm the cohort upper bound of 89.</t>
  </si>
  <si>
    <t xml:space="preserve">The calculators are restricted to adults 18–89; the upper bound assumes ages ≥ 90 are top-coded.</t>
  </si>
  <si>
    <t xml:space="preserve">Cohort age bounds (cardioai_core/schema.py AGE_MIN / AGE_MAX).</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</si>
</sst>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b val="true"/>
      <sz val="10"/>
      <name val="Arial"/>
      <family val="0"/>
      <charset val="1"/>
    </font>
    <font>
      <sz val="10"/>
      <name val="Arial"/>
      <family val="0"/>
      <charset val="1"/>
    </font>
    <font>
      <u val="single"/>
      <sz val="10"/>
      <color rgb="FF1F5FAF"/>
      <name val="Arial"/>
      <family val="0"/>
      <charset val="1"/>
    </font>
    <font>
      <i val="true"/>
      <sz val="10"/>
      <color rgb="FF444444"/>
      <name val="Arial"/>
      <family val="0"/>
      <charset val="1"/>
    </font>
    <font>
      <b val="true"/>
      <sz val="10"/>
      <color rgb="FFFFFFFF"/>
      <name val="Arial"/>
      <family val="0"/>
      <charset val="1"/>
    </font>
  </fonts>
  <fills count="4">
    <fill>
      <patternFill patternType="none"/>
    </fill>
    <fill>
      <patternFill patternType="gray125"/>
    </fill>
    <fill>
      <patternFill patternType="solid">
        <fgColor rgb="FF1F3A5F"/>
        <bgColor rgb="FF333399"/>
      </patternFill>
    </fill>
    <fill>
      <patternFill patternType="solid">
        <fgColor rgb="FFFFF4CC"/>
        <bgColor rgb="FFFFFFFF"/>
      </patternFill>
    </fill>
  </fills>
  <borders count="2">
    <border diagonalUp="false" diagonalDown="false">
      <left/>
      <right/>
      <top/>
      <bottom/>
      <diagonal/>
    </border>
    <border diagonalUp="false" diagonalDown="false">
      <left/>
      <right/>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top" textRotation="0" wrapText="false" indent="0" shrinkToFit="false"/>
      <protection locked="true" hidden="false"/>
    </xf>
    <xf numFmtId="165" fontId="6" fillId="0" borderId="0" xfId="0" applyFont="true" applyBorder="fals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1F5FAF"/>
      <rgbColor rgb="FFD0D7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8AA4C8"/>
      <rgbColor rgb="FF1F3A5F"/>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T10_Eligibility" displayName="T10_Eligibility" ref="A4:G22" headerRowCount="1" totalsRowCount="0" totalsRowShown="0">
  <autoFilter ref="A4:G22"/>
  <tableColumns count="7">
    <tableColumn id="1" name="ID"/>
    <tableColumn id="2" name="Type"/>
    <tableColumn id="3" name="Criterion"/>
    <tableColumn id="4" name="Applies to"/>
    <tableColumn id="5" name="Lower bound"/>
    <tableColumn id="6" name="Upper bound"/>
    <tableColumn id="7" name="Enforced in"/>
  </tableColumns>
</table>
</file>

<file path=xl/tables/table2.xml><?xml version="1.0" encoding="utf-8"?>
<table xmlns="http://schemas.openxmlformats.org/spreadsheetml/2006/main" id="2" name="T11_Pythonpackages" displayName="T11_Pythonpackages" ref="A4:F24" headerRowCount="1" totalsRowCount="0" totalsRowShown="0">
  <autoFilter ref="A4:F24"/>
  <tableColumns count="6">
    <tableColumn id="1" name="Package"/>
    <tableColumn id="2" name="Version"/>
    <tableColumn id="3" name="What it is for"/>
    <tableColumn id="4" name="Imported by"/>
    <tableColumn id="5" name="Workspace need"/>
    <tableColumn id="6" name="Notes"/>
  </tableColumns>
</table>
</file>

<file path=xl/tables/table3.xml><?xml version="1.0" encoding="utf-8"?>
<table xmlns="http://schemas.openxmlformats.org/spreadsheetml/2006/main" id="3" name="T12_Openconfirmations" displayName="T12_Openconfirmations" ref="A4:I15" headerRowCount="1" totalsRowCount="0" totalsRowShown="0">
  <autoFilter ref="A4:I15"/>
  <tableColumns count="9">
    <tableColumn id="1" name="#"/>
    <tableColumn id="2" name="Topic"/>
    <tableColumn id="3" name="Question for MCP"/>
    <tableColumn id="4" name="Why it matters"/>
    <tableColumn id="5" name="What it blocks / where it is used"/>
    <tableColumn id="6" name="Needed by"/>
    <tableColumn id="7" name="Status"/>
    <tableColumn id="8" name="MCP response"/>
    <tableColumn id="9" name="Answered by / date"/>
  </tableColumns>
</table>
</file>

<file path=xl/tables/table4.xml><?xml version="1.0" encoding="utf-8"?>
<table xmlns="http://schemas.openxmlformats.org/spreadsheetml/2006/main" id="4" name="T1_Bycalculator" displayName="T1_Bycalculator" ref="A4:G19" headerRowCount="1" totalsRowCount="0" totalsRowShown="0">
  <autoFilter ref="A4:G19"/>
  <tableColumns count="7">
    <tableColumn id="1" name="Data element group"/>
    <tableColumn id="2" name="Includes"/>
    <tableColumn id="3" name="AMI"/>
    <tableColumn id="4" name="Stroke"/>
    <tableColumn id="5" name="HF"/>
    <tableColumn id="6" name="SCD"/>
    <tableColumn id="7" name="AF"/>
  </tableColumns>
</table>
</file>

<file path=xl/tables/table5.xml><?xml version="1.0" encoding="utf-8"?>
<table xmlns="http://schemas.openxmlformats.org/spreadsheetml/2006/main" id="5" name="T2_Sourcetables" displayName="T2_Sourcetables" ref="A4:F18" headerRowCount="1" totalsRowCount="0" totalsRowShown="0">
  <autoFilter ref="A4:F18"/>
  <tableColumns count="6">
    <tableColumn id="1" name="Table"/>
    <tableColumn id="2" name="Model"/>
    <tableColumn id="3" name="Columns read"/>
    <tableColumn id="4" name="Calculators"/>
    <tableColumn id="5" name="Used for"/>
    <tableColumn id="6" name="Access needed"/>
  </tableColumns>
</table>
</file>

<file path=xl/tables/table6.xml><?xml version="1.0" encoding="utf-8"?>
<table xmlns="http://schemas.openxmlformats.org/spreadsheetml/2006/main" id="6" name="T3_Labsvitals" displayName="T3_Labsvitals" ref="A4:J42" headerRowCount="1" totalsRowCount="0" totalsRowShown="0">
  <autoFilter ref="A4:J42"/>
  <tableColumns count="10">
    <tableColumn id="1" name="Calculators"/>
    <tableColumn id="2" name="Data element"/>
    <tableColumn id="3" name="Purpose"/>
    <tableColumn id="4" name="Vocabulary"/>
    <tableColumn id="5" name="Code"/>
    <tableColumn id="6" name="LOINC name"/>
    <tableColumn id="7" name="Unit"/>
    <tableColumn id="8" name="OMOP table"/>
    <tableColumn id="9" name="Time window"/>
    <tableColumn id="10" name="Notes"/>
  </tableColumns>
</table>
</file>

<file path=xl/tables/table7.xml><?xml version="1.0" encoding="utf-8"?>
<table xmlns="http://schemas.openxmlformats.org/spreadsheetml/2006/main" id="7" name="T4_Historydiagnoses" displayName="T4_Historydiagnoses" ref="A4:I756" headerRowCount="1" totalsRowCount="0" totalsRowShown="0">
  <autoFilter ref="A4:I756"/>
  <tableColumns count="9">
    <tableColumn id="1" name="Calculators"/>
    <tableColumn id="2" name="History flag"/>
    <tableColumn id="3" name="Purpose"/>
    <tableColumn id="4" name="Vocabulary"/>
    <tableColumn id="5" name="Code"/>
    <tableColumn id="6" name="Description"/>
    <tableColumn id="7" name="Status"/>
    <tableColumn id="8" name="OMOP table"/>
    <tableColumn id="9" name="Time window"/>
  </tableColumns>
</table>
</file>

<file path=xl/tables/table8.xml><?xml version="1.0" encoding="utf-8"?>
<table xmlns="http://schemas.openxmlformats.org/spreadsheetml/2006/main" id="8" name="T5_Outcomediagnoses" displayName="T5_Outcomediagnoses" ref="A4:J338" headerRowCount="1" totalsRowCount="0" totalsRowShown="0">
  <autoFilter ref="A4:J338"/>
  <tableColumns count="10">
    <tableColumn id="1" name="Calculator"/>
    <tableColumn id="2" name="Vocabulary"/>
    <tableColumn id="3" name="Code"/>
    <tableColumn id="4" name="Description"/>
    <tableColumn id="5" name="Status"/>
    <tableColumn id="6" name="Subtype hint"/>
    <tableColumn id="7" name="Included"/>
    <tableColumn id="8" name="Reason excluded"/>
    <tableColumn id="9" name="OMOP table"/>
    <tableColumn id="10" name="Time window"/>
  </tableColumns>
</table>
</file>

<file path=xl/tables/table9.xml><?xml version="1.0" encoding="utf-8"?>
<table xmlns="http://schemas.openxmlformats.org/spreadsheetml/2006/main" id="9" name="T6_Procedures" displayName="T6_Procedures" ref="A4:I26" headerRowCount="1" totalsRowCount="0" totalsRowShown="0">
  <autoFilter ref="A4:I26"/>
  <tableColumns count="9">
    <tableColumn id="1" name="Calculator"/>
    <tableColumn id="2" name="Procedure"/>
    <tableColumn id="3" name="Vocabulary"/>
    <tableColumn id="4" name="Codes"/>
    <tableColumn id="5" name="Count"/>
    <tableColumn id="6" name="Pattern in code set"/>
    <tableColumn id="7" name="How it is used"/>
    <tableColumn id="8" name="OMOP table"/>
    <tableColumn id="9" name="Time window"/>
  </tableColumns>
</table>
</file>

<file path=xl/tables/table10.xml><?xml version="1.0" encoding="utf-8"?>
<table xmlns="http://schemas.openxmlformats.org/spreadsheetml/2006/main" id="10" name="T7_Medications" displayName="T7_Medications" ref="A4:H18" headerRowCount="1" totalsRowCount="0" totalsRowShown="0">
  <autoFilter ref="A4:H18"/>
  <tableColumns count="8">
    <tableColumn id="1" name="Calculators"/>
    <tableColumn id="2" name="Data element"/>
    <tableColumn id="3" name="Vocabulary"/>
    <tableColumn id="4" name="ATC code"/>
    <tableColumn id="5" name="ATC class"/>
    <tableColumn id="6" name="OMOP table / mapping"/>
    <tableColumn id="7" name="Time window"/>
    <tableColumn id="8" name="Notes"/>
  </tableColumns>
</table>
</file>

<file path=xl/tables/table11.xml><?xml version="1.0" encoding="utf-8"?>
<table xmlns="http://schemas.openxmlformats.org/spreadsheetml/2006/main" id="11" name="T8_Notesreports" displayName="T8_Notesreports" ref="A4:H9" headerRowCount="1" totalsRowCount="0" totalsRowShown="0">
  <autoFilter ref="A4:H9"/>
  <tableColumns count="8">
    <tableColumn id="1" name="Calculators"/>
    <tableColumn id="2" name="Data element"/>
    <tableColumn id="3" name="Purpose"/>
    <tableColumn id="4" name="Source"/>
    <tableColumn id="5" name="Columns"/>
    <tableColumn id="6" name="Time window"/>
    <tableColumn id="7" name="Text filter"/>
    <tableColumn id="8" name="Note types"/>
  </tableColumns>
</table>
</file>

<file path=xl/tables/table12.xml><?xml version="1.0" encoding="utf-8"?>
<table xmlns="http://schemas.openxmlformats.org/spreadsheetml/2006/main" id="12" name="T9_Conceptsdemographics" displayName="T9_Conceptsdemographics" ref="A4:G16" headerRowCount="1" totalsRowCount="0" totalsRowShown="0">
  <autoFilter ref="A4:G16"/>
  <tableColumns count="7">
    <tableColumn id="1" name="Calculators"/>
    <tableColumn id="2" name="Data element"/>
    <tableColumn id="3" name="OMOP table"/>
    <tableColumn id="4" name="Columns"/>
    <tableColumn id="5" name="Concept IDs / values"/>
    <tableColumn id="6" name="Window"/>
    <tableColumn id="7" name="Used fo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CardioAI_MCP_Import_List.xlsx" TargetMode="External"/><Relationship Id="rId2" Type="http://schemas.openxmlformats.org/officeDocument/2006/relationships/hyperlink" Target="CardioAI_MCP_Import_List.xlsx" TargetMode="External"/><Relationship Id="rId3" Type="http://schemas.openxmlformats.org/officeDocument/2006/relationships/hyperlink" Target="CardioAI_MCP_Import_List.xlsx" TargetMode="External"/><Relationship Id="rId4" Type="http://schemas.openxmlformats.org/officeDocument/2006/relationships/hyperlink" Target="CardioAI_MCP_Import_List.xlsx" TargetMode="External"/><Relationship Id="rId5" Type="http://schemas.openxmlformats.org/officeDocument/2006/relationships/hyperlink" Target="CardioAI_MCP_Import_List.xlsx" TargetMode="External"/><Relationship Id="rId6" Type="http://schemas.openxmlformats.org/officeDocument/2006/relationships/hyperlink" Target="CardioAI_MCP_Import_List.xlsx" TargetMode="External"/><Relationship Id="rId7" Type="http://schemas.openxmlformats.org/officeDocument/2006/relationships/hyperlink" Target="CardioAI_MCP_Import_List.xlsx" TargetMode="External"/><Relationship Id="rId8" Type="http://schemas.openxmlformats.org/officeDocument/2006/relationships/hyperlink" Target="CardioAI_MCP_Import_List.xlsx" TargetMode="External"/><Relationship Id="rId9" Type="http://schemas.openxmlformats.org/officeDocument/2006/relationships/hyperlink" Target="CardioAI_MCP_Import_List.xlsx" TargetMode="External"/><Relationship Id="rId10" Type="http://schemas.openxmlformats.org/officeDocument/2006/relationships/hyperlink" Target="CardioAI_MCP_Import_List.xlsx" TargetMode="External"/><Relationship Id="rId11" Type="http://schemas.openxmlformats.org/officeDocument/2006/relationships/hyperlink" Target="CardioAI_MCP_Import_List.xlsx" TargetMode="External"/><Relationship Id="rId12" Type="http://schemas.openxmlformats.org/officeDocument/2006/relationships/hyperlink" Target="CardioAI_MCP_Import_List.xlsx" TargetMode="External"/>
</Relationships>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8.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0.xml"/>
</Relationships>
</file>

<file path=xl/worksheets/_rels/sheet9.xml.rels><?xml version="1.0" encoding="UTF-8"?>
<Relationships xmlns="http://schemas.openxmlformats.org/package/2006/relationships"><Relationship Id="rId1" Type="http://schemas.openxmlformats.org/officeDocument/2006/relationships/table" Target="../tables/table11.xml"/>
</Relationships>
</file>

<file path=xl/worksheets/_rels/sheet10.xml.rels><?xml version="1.0" encoding="UTF-8"?>
<Relationships xmlns="http://schemas.openxmlformats.org/package/2006/relationships"><Relationship Id="rId1" Type="http://schemas.openxmlformats.org/officeDocument/2006/relationships/table" Target="../tables/table12.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A1:B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3" t="s">
        <v>1</v>
      </c>
      <c r="B3" s="4" t="s">
        <v>2</v>
      </c>
    </row>
    <row r="4" customFormat="false" ht="15" hidden="false" customHeight="false" outlineLevel="0" collapsed="false">
      <c r="A4" s="3" t="s">
        <v>3</v>
      </c>
      <c r="B4" s="4" t="s">
        <v>4</v>
      </c>
    </row>
    <row r="5" customFormat="false" ht="15" hidden="false" customHeight="false" outlineLevel="0" collapsed="false">
      <c r="A5" s="3" t="s">
        <v>5</v>
      </c>
      <c r="B5" s="4" t="s">
        <v>6</v>
      </c>
    </row>
    <row r="6" customFormat="false" ht="23.85" hidden="false" customHeight="false" outlineLevel="0" collapsed="false">
      <c r="A6" s="3" t="s">
        <v>7</v>
      </c>
      <c r="B6" s="4" t="s">
        <v>8</v>
      </c>
    </row>
    <row r="7" customFormat="false" ht="15" hidden="false" customHeight="false" outlineLevel="0" collapsed="false">
      <c r="A7" s="3" t="s">
        <v>9</v>
      </c>
      <c r="B7" s="4" t="s">
        <v>10</v>
      </c>
    </row>
    <row r="8" customFormat="false" ht="15" hidden="false" customHeight="false" outlineLevel="0" collapsed="false">
      <c r="A8" s="3" t="s">
        <v>11</v>
      </c>
      <c r="B8" s="4" t="s">
        <v>12</v>
      </c>
    </row>
    <row r="9" customFormat="false" ht="15" hidden="false" customHeight="false" outlineLevel="0" collapsed="false">
      <c r="A9" s="3" t="s">
        <v>13</v>
      </c>
      <c r="B9" s="4" t="s">
        <v>14</v>
      </c>
    </row>
    <row r="10" customFormat="false" ht="23.85" hidden="false" customHeight="false" outlineLevel="0" collapsed="false">
      <c r="A10" s="3" t="s">
        <v>15</v>
      </c>
      <c r="B10" s="4" t="s">
        <v>16</v>
      </c>
    </row>
    <row r="11" customFormat="false" ht="15" hidden="false" customHeight="false" outlineLevel="0" collapsed="false">
      <c r="A11" s="3" t="s">
        <v>17</v>
      </c>
      <c r="B11" s="4" t="s">
        <v>18</v>
      </c>
    </row>
    <row r="12" customFormat="false" ht="15" hidden="false" customHeight="false" outlineLevel="0" collapsed="false">
      <c r="A12" s="3" t="s">
        <v>19</v>
      </c>
      <c r="B12" s="4"/>
    </row>
    <row r="13" customFormat="false" ht="15" hidden="false" customHeight="false" outlineLevel="0" collapsed="false">
      <c r="A13" s="5" t="s">
        <v>20</v>
      </c>
      <c r="B13" s="6" t="n">
        <f aca="false">COUNTA('Labs &amp; vitals'!E5:E1000)</f>
        <v>38</v>
      </c>
    </row>
    <row r="14" customFormat="false" ht="15" hidden="false" customHeight="false" outlineLevel="0" collapsed="false">
      <c r="A14" s="5" t="s">
        <v>21</v>
      </c>
      <c r="B14" s="6" t="n">
        <f aca="false">COUNTA('History diagnoses'!E5:E5000)</f>
        <v>752</v>
      </c>
    </row>
    <row r="15" customFormat="false" ht="15" hidden="false" customHeight="false" outlineLevel="0" collapsed="false">
      <c r="A15" s="5" t="s">
        <v>22</v>
      </c>
      <c r="B15" s="6" t="n">
        <f aca="false">COUNTA('Outcome diagnoses'!C5:C5000)</f>
        <v>334</v>
      </c>
    </row>
    <row r="16" customFormat="false" ht="15" hidden="false" customHeight="false" outlineLevel="0" collapsed="false">
      <c r="A16" s="5" t="s">
        <v>23</v>
      </c>
      <c r="B16" s="6" t="n">
        <f aca="false">COUNTA(Procedures!D5:D1000)</f>
        <v>22</v>
      </c>
    </row>
    <row r="17" customFormat="false" ht="15" hidden="false" customHeight="false" outlineLevel="0" collapsed="false">
      <c r="A17" s="5" t="s">
        <v>24</v>
      </c>
      <c r="B17" s="6" t="n">
        <f aca="false">COUNTA(Medications!D5:D1000)</f>
        <v>14</v>
      </c>
    </row>
    <row r="18" customFormat="false" ht="15" hidden="false" customHeight="false" outlineLevel="0" collapsed="false">
      <c r="A18" s="2"/>
    </row>
    <row r="19" customFormat="false" ht="15" hidden="false" customHeight="false" outlineLevel="0" collapsed="false">
      <c r="A19" s="3" t="s">
        <v>25</v>
      </c>
    </row>
    <row r="20" customFormat="false" ht="15" hidden="false" customHeight="false" outlineLevel="0" collapsed="false">
      <c r="A20" s="7" t="s">
        <v>26</v>
      </c>
      <c r="B20" s="8" t="s">
        <v>27</v>
      </c>
    </row>
    <row r="21" customFormat="false" ht="15" hidden="false" customHeight="false" outlineLevel="0" collapsed="false">
      <c r="A21" s="7" t="s">
        <v>28</v>
      </c>
      <c r="B21" s="8" t="s">
        <v>29</v>
      </c>
    </row>
    <row r="22" customFormat="false" ht="15" hidden="false" customHeight="false" outlineLevel="0" collapsed="false">
      <c r="A22" s="7" t="s">
        <v>30</v>
      </c>
      <c r="B22" s="8" t="s">
        <v>31</v>
      </c>
    </row>
    <row r="23" customFormat="false" ht="15" hidden="false" customHeight="false" outlineLevel="0" collapsed="false">
      <c r="A23" s="7" t="s">
        <v>32</v>
      </c>
      <c r="B23" s="8" t="s">
        <v>33</v>
      </c>
    </row>
    <row r="24" customFormat="false" ht="15" hidden="false" customHeight="false" outlineLevel="0" collapsed="false">
      <c r="A24" s="7" t="s">
        <v>34</v>
      </c>
      <c r="B24" s="8" t="s">
        <v>35</v>
      </c>
    </row>
    <row r="25" customFormat="false" ht="15" hidden="false" customHeight="false" outlineLevel="0" collapsed="false">
      <c r="A25" s="7" t="s">
        <v>36</v>
      </c>
      <c r="B25" s="8" t="s">
        <v>37</v>
      </c>
    </row>
    <row r="26" customFormat="false" ht="15" hidden="false" customHeight="false" outlineLevel="0" collapsed="false">
      <c r="A26" s="7" t="s">
        <v>38</v>
      </c>
      <c r="B26" s="8" t="s">
        <v>39</v>
      </c>
    </row>
    <row r="27" customFormat="false" ht="15" hidden="false" customHeight="false" outlineLevel="0" collapsed="false">
      <c r="A27" s="7" t="s">
        <v>40</v>
      </c>
      <c r="B27" s="8" t="s">
        <v>41</v>
      </c>
    </row>
    <row r="28" customFormat="false" ht="15" hidden="false" customHeight="false" outlineLevel="0" collapsed="false">
      <c r="A28" s="7" t="s">
        <v>42</v>
      </c>
      <c r="B28" s="8" t="s">
        <v>43</v>
      </c>
    </row>
    <row r="29" customFormat="false" ht="15" hidden="false" customHeight="false" outlineLevel="0" collapsed="false">
      <c r="A29" s="7" t="s">
        <v>44</v>
      </c>
      <c r="B29" s="8" t="s">
        <v>45</v>
      </c>
    </row>
    <row r="30" customFormat="false" ht="15" hidden="false" customHeight="false" outlineLevel="0" collapsed="false">
      <c r="A30" s="7" t="s">
        <v>46</v>
      </c>
      <c r="B30" s="8" t="s">
        <v>47</v>
      </c>
    </row>
    <row r="31" customFormat="false" ht="15" hidden="false" customHeight="false" outlineLevel="0" collapsed="false">
      <c r="A31" s="7" t="s">
        <v>48</v>
      </c>
      <c r="B31" s="8" t="s">
        <v>49</v>
      </c>
    </row>
    <row r="32" customFormat="false" ht="15" hidden="false" customHeight="false" outlineLevel="0" collapsed="false">
      <c r="A32" s="2"/>
    </row>
    <row r="33" customFormat="false" ht="45" hidden="false" customHeight="true" outlineLevel="0" collapsed="false">
      <c r="A33" s="3" t="s">
        <v>50</v>
      </c>
      <c r="B33" s="4" t="s">
        <v>51</v>
      </c>
    </row>
  </sheetData>
  <hyperlinks>
    <hyperlink ref="A20" r:id="rId1" location="'By%20calculator'!A1" display="By calculator"/>
    <hyperlink ref="A21" r:id="rId2" location="'Source%20tables'!A1" display="Source tables"/>
    <hyperlink ref="A22" r:id="rId3" location="'Labs%20&amp;%20vitals'!A1" display="Labs &amp; vitals"/>
    <hyperlink ref="A23" r:id="rId4" location="'History%20diagnoses'!A1" display="History diagnoses"/>
    <hyperlink ref="A24" r:id="rId5" location="'Outcome%20diagnoses'!A1" display="Outcome diagnoses"/>
    <hyperlink ref="A25" r:id="rId6" location="'Procedures'!A1" display="Procedures"/>
    <hyperlink ref="A26" r:id="rId7" location="'Medications'!A1" display="Medications"/>
    <hyperlink ref="A27" r:id="rId8" location="'Notes%20&amp;%20reports'!A1" display="Notes &amp; reports"/>
    <hyperlink ref="A28" r:id="rId9" location="'Concepts%20&amp;%20demographics'!A1" display="Concepts &amp; demographics"/>
    <hyperlink ref="A29" r:id="rId10" location="'Eligibility'!A1" display="Eligibility"/>
    <hyperlink ref="A30" r:id="rId11" location="'Python%20packages'!A1" display="Python packages"/>
    <hyperlink ref="A31" r:id="rId12" location="'Open%20confirmations'!A1" display="Open confirmation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0"/>
    <col collapsed="false" customWidth="true" hidden="false" outlineLevel="0" max="7" min="3" style="0" width="9"/>
  </cols>
  <sheetData>
    <row r="1" customFormat="false" ht="17.35" hidden="false" customHeight="false" outlineLevel="0" collapsed="false">
      <c r="A1" s="9" t="s">
        <v>52</v>
      </c>
    </row>
    <row r="2" customFormat="false" ht="30" hidden="false" customHeight="true" outlineLevel="0" collapsed="false">
      <c r="A2" s="10" t="s">
        <v>53</v>
      </c>
      <c r="B2" s="10"/>
      <c r="C2" s="10"/>
      <c r="D2" s="10"/>
      <c r="E2" s="10"/>
      <c r="F2" s="10"/>
      <c r="G2" s="10"/>
    </row>
    <row r="4" customFormat="false" ht="15" hidden="false" customHeight="false" outlineLevel="0" collapsed="false">
      <c r="A4" s="11" t="s">
        <v>54</v>
      </c>
      <c r="B4" s="11" t="s">
        <v>55</v>
      </c>
      <c r="C4" s="11" t="s">
        <v>56</v>
      </c>
      <c r="D4" s="11" t="s">
        <v>57</v>
      </c>
      <c r="E4" s="11" t="s">
        <v>58</v>
      </c>
      <c r="F4" s="11" t="s">
        <v>59</v>
      </c>
      <c r="G4" s="11" t="s">
        <v>60</v>
      </c>
    </row>
    <row r="5" customFormat="false" ht="15" hidden="false" customHeight="false" outlineLevel="0" collapsed="false">
      <c r="A5" s="12" t="s">
        <v>61</v>
      </c>
      <c r="B5" s="12" t="s">
        <v>62</v>
      </c>
      <c r="C5" s="13" t="s">
        <v>63</v>
      </c>
      <c r="D5" s="13" t="s">
        <v>63</v>
      </c>
      <c r="E5" s="13" t="s">
        <v>63</v>
      </c>
      <c r="F5" s="13" t="s">
        <v>63</v>
      </c>
      <c r="G5" s="13" t="s">
        <v>63</v>
      </c>
    </row>
    <row r="6" customFormat="false" ht="23.85" hidden="false" customHeight="false" outlineLevel="0" collapsed="false">
      <c r="A6" s="12" t="s">
        <v>64</v>
      </c>
      <c r="B6" s="12" t="s">
        <v>65</v>
      </c>
      <c r="C6" s="13" t="s">
        <v>63</v>
      </c>
      <c r="D6" s="13" t="s">
        <v>63</v>
      </c>
      <c r="E6" s="13" t="s">
        <v>63</v>
      </c>
      <c r="F6" s="13" t="s">
        <v>63</v>
      </c>
      <c r="G6" s="13" t="s">
        <v>63</v>
      </c>
    </row>
    <row r="7" customFormat="false" ht="15" hidden="false" customHeight="false" outlineLevel="0" collapsed="false">
      <c r="A7" s="12" t="s">
        <v>66</v>
      </c>
      <c r="B7" s="12" t="s">
        <v>67</v>
      </c>
      <c r="C7" s="13" t="s">
        <v>63</v>
      </c>
      <c r="D7" s="13" t="s">
        <v>63</v>
      </c>
      <c r="E7" s="13" t="s">
        <v>63</v>
      </c>
      <c r="F7" s="13" t="s">
        <v>63</v>
      </c>
      <c r="G7" s="13" t="s">
        <v>63</v>
      </c>
    </row>
    <row r="8" customFormat="false" ht="15" hidden="false" customHeight="false" outlineLevel="0" collapsed="false">
      <c r="A8" s="12" t="s">
        <v>68</v>
      </c>
      <c r="B8" s="12" t="s">
        <v>69</v>
      </c>
      <c r="C8" s="13" t="s">
        <v>63</v>
      </c>
      <c r="D8" s="13" t="s">
        <v>63</v>
      </c>
      <c r="E8" s="13" t="s">
        <v>63</v>
      </c>
      <c r="F8" s="13" t="s">
        <v>63</v>
      </c>
      <c r="G8" s="13" t="s">
        <v>63</v>
      </c>
    </row>
    <row r="9" customFormat="false" ht="15" hidden="false" customHeight="false" outlineLevel="0" collapsed="false">
      <c r="A9" s="12" t="s">
        <v>38</v>
      </c>
      <c r="B9" s="12" t="s">
        <v>70</v>
      </c>
      <c r="C9" s="13" t="s">
        <v>63</v>
      </c>
      <c r="D9" s="13" t="s">
        <v>63</v>
      </c>
      <c r="E9" s="13" t="s">
        <v>63</v>
      </c>
      <c r="F9" s="13" t="s">
        <v>63</v>
      </c>
      <c r="G9" s="13" t="s">
        <v>63</v>
      </c>
    </row>
    <row r="10" customFormat="false" ht="15" hidden="false" customHeight="false" outlineLevel="0" collapsed="false">
      <c r="A10" s="12" t="s">
        <v>71</v>
      </c>
      <c r="B10" s="12" t="s">
        <v>72</v>
      </c>
      <c r="C10" s="13" t="s">
        <v>63</v>
      </c>
      <c r="D10" s="13" t="s">
        <v>63</v>
      </c>
      <c r="E10" s="13" t="s">
        <v>63</v>
      </c>
      <c r="F10" s="13" t="s">
        <v>63</v>
      </c>
      <c r="G10" s="13" t="s">
        <v>63</v>
      </c>
    </row>
    <row r="11" customFormat="false" ht="15" hidden="false" customHeight="false" outlineLevel="0" collapsed="false">
      <c r="A11" s="12" t="s">
        <v>73</v>
      </c>
      <c r="B11" s="12" t="s">
        <v>74</v>
      </c>
      <c r="C11" s="13" t="s">
        <v>63</v>
      </c>
      <c r="D11" s="13"/>
      <c r="E11" s="13"/>
      <c r="F11" s="13"/>
      <c r="G11" s="13"/>
    </row>
    <row r="12" customFormat="false" ht="15" hidden="false" customHeight="false" outlineLevel="0" collapsed="false">
      <c r="A12" s="12" t="s">
        <v>75</v>
      </c>
      <c r="B12" s="12" t="s">
        <v>76</v>
      </c>
      <c r="C12" s="13"/>
      <c r="D12" s="13"/>
      <c r="E12" s="13" t="s">
        <v>63</v>
      </c>
      <c r="F12" s="13"/>
      <c r="G12" s="13"/>
    </row>
    <row r="13" customFormat="false" ht="15" hidden="false" customHeight="false" outlineLevel="0" collapsed="false">
      <c r="A13" s="12" t="s">
        <v>77</v>
      </c>
      <c r="B13" s="12" t="s">
        <v>74</v>
      </c>
      <c r="C13" s="13" t="s">
        <v>63</v>
      </c>
      <c r="D13" s="13"/>
      <c r="E13" s="13"/>
      <c r="F13" s="13"/>
      <c r="G13" s="13"/>
    </row>
    <row r="14" customFormat="false" ht="15" hidden="false" customHeight="false" outlineLevel="0" collapsed="false">
      <c r="A14" s="12" t="s">
        <v>78</v>
      </c>
      <c r="B14" s="12" t="s">
        <v>79</v>
      </c>
      <c r="C14" s="13"/>
      <c r="D14" s="13" t="s">
        <v>63</v>
      </c>
      <c r="E14" s="13"/>
      <c r="F14" s="13"/>
      <c r="G14" s="13"/>
    </row>
    <row r="15" customFormat="false" ht="23.85" hidden="false" customHeight="false" outlineLevel="0" collapsed="false">
      <c r="A15" s="12" t="s">
        <v>80</v>
      </c>
      <c r="B15" s="12" t="s">
        <v>81</v>
      </c>
      <c r="C15" s="13"/>
      <c r="D15" s="13"/>
      <c r="E15" s="13" t="s">
        <v>63</v>
      </c>
      <c r="F15" s="13"/>
      <c r="G15" s="13"/>
    </row>
    <row r="16" customFormat="false" ht="15" hidden="false" customHeight="false" outlineLevel="0" collapsed="false">
      <c r="A16" s="12" t="s">
        <v>82</v>
      </c>
      <c r="B16" s="12" t="s">
        <v>83</v>
      </c>
      <c r="C16" s="13"/>
      <c r="D16" s="13"/>
      <c r="E16" s="13"/>
      <c r="F16" s="13" t="s">
        <v>63</v>
      </c>
      <c r="G16" s="13"/>
    </row>
    <row r="17" customFormat="false" ht="15" hidden="false" customHeight="false" outlineLevel="0" collapsed="false">
      <c r="A17" s="12" t="s">
        <v>84</v>
      </c>
      <c r="B17" s="12" t="s">
        <v>85</v>
      </c>
      <c r="C17" s="13"/>
      <c r="D17" s="13"/>
      <c r="E17" s="13"/>
      <c r="F17" s="13"/>
      <c r="G17" s="13" t="s">
        <v>63</v>
      </c>
    </row>
    <row r="18" customFormat="false" ht="15" hidden="false" customHeight="false" outlineLevel="0" collapsed="false">
      <c r="A18" s="12" t="s">
        <v>86</v>
      </c>
      <c r="B18" s="12" t="s">
        <v>87</v>
      </c>
      <c r="C18" s="13" t="s">
        <v>63</v>
      </c>
      <c r="D18" s="13" t="s">
        <v>63</v>
      </c>
      <c r="E18" s="13" t="s">
        <v>63</v>
      </c>
      <c r="F18" s="13" t="s">
        <v>63</v>
      </c>
      <c r="G18" s="13" t="s">
        <v>63</v>
      </c>
    </row>
    <row r="19" customFormat="false" ht="15" hidden="false" customHeight="false" outlineLevel="0" collapsed="false">
      <c r="A19" s="12" t="s">
        <v>88</v>
      </c>
      <c r="B19" s="12" t="s">
        <v>89</v>
      </c>
      <c r="C19" s="13" t="s">
        <v>63</v>
      </c>
      <c r="D19" s="13" t="s">
        <v>63</v>
      </c>
      <c r="E19" s="13" t="s">
        <v>63</v>
      </c>
      <c r="F19" s="13" t="s">
        <v>63</v>
      </c>
      <c r="G19" s="13"/>
    </row>
    <row r="20" customFormat="false" ht="15" hidden="false" customHeight="false" outlineLevel="0" collapsed="false">
      <c r="C20" s="14"/>
      <c r="D20" s="14"/>
      <c r="E20" s="14"/>
      <c r="F20" s="14"/>
      <c r="G20" s="14"/>
    </row>
    <row r="21" customFormat="false" ht="15" hidden="false" customHeight="false" outlineLevel="0" collapsed="false">
      <c r="A21" s="15" t="s">
        <v>90</v>
      </c>
      <c r="C21" s="14"/>
      <c r="D21" s="14"/>
      <c r="E21" s="14"/>
      <c r="F21" s="14"/>
      <c r="G21" s="14"/>
    </row>
    <row r="22" customFormat="false" ht="15" hidden="false" customHeight="false" outlineLevel="0" collapsed="false">
      <c r="A22" s="16" t="s">
        <v>91</v>
      </c>
      <c r="B22" s="16"/>
      <c r="C22" s="17" t="s">
        <v>56</v>
      </c>
      <c r="D22" s="17" t="s">
        <v>57</v>
      </c>
      <c r="E22" s="17" t="s">
        <v>58</v>
      </c>
      <c r="F22" s="17" t="s">
        <v>59</v>
      </c>
      <c r="G22" s="17" t="s">
        <v>60</v>
      </c>
    </row>
    <row r="23" customFormat="false" ht="15" hidden="false" customHeight="false" outlineLevel="0" collapsed="false">
      <c r="A23" s="8" t="s">
        <v>92</v>
      </c>
      <c r="C23" s="18" t="n">
        <f aca="false">COUNTIFS('Outcome diagnoses'!$A$5:$A$5000,"AMI",'Outcome diagnoses'!$G$5:$G$5000,"yes")</f>
        <v>44</v>
      </c>
      <c r="D23" s="18" t="n">
        <f aca="false">COUNTIFS('Outcome diagnoses'!$A$5:$A$5000,"Stroke",'Outcome diagnoses'!$G$5:$G$5000,"yes")</f>
        <v>177</v>
      </c>
      <c r="E23" s="18" t="n">
        <f aca="false">COUNTIFS('Outcome diagnoses'!$A$5:$A$5000,"HF",'Outcome diagnoses'!$G$5:$G$5000,"yes")</f>
        <v>61</v>
      </c>
      <c r="F23" s="18" t="n">
        <f aca="false">COUNTIFS('Outcome diagnoses'!$A$5:$A$5000,"SCD",'Outcome diagnoses'!$G$5:$G$5000,"yes")</f>
        <v>17</v>
      </c>
      <c r="G23" s="18" t="n">
        <f aca="false">COUNTIFS('Outcome diagnoses'!$A$5:$A$5000,"AF",'Outcome diagnoses'!$G$5:$G$5000,"yes")</f>
        <v>15</v>
      </c>
    </row>
    <row r="24" customFormat="false" ht="15" hidden="false" customHeight="false" outlineLevel="0" collapsed="false">
      <c r="A24" s="8" t="s">
        <v>93</v>
      </c>
      <c r="C24" s="18" t="n">
        <f aca="false">COUNTIFS('Outcome diagnoses'!$A$5:$A$5000,"AMI",'Outcome diagnoses'!$G$5:$G$5000,"no")</f>
        <v>10</v>
      </c>
      <c r="D24" s="18" t="n">
        <f aca="false">COUNTIFS('Outcome diagnoses'!$A$5:$A$5000,"Stroke",'Outcome diagnoses'!$G$5:$G$5000,"no")</f>
        <v>10</v>
      </c>
      <c r="E24" s="18" t="n">
        <f aca="false">COUNTIFS('Outcome diagnoses'!$A$5:$A$5000,"HF",'Outcome diagnoses'!$G$5:$G$5000,"no")</f>
        <v>0</v>
      </c>
      <c r="F24" s="18" t="n">
        <f aca="false">COUNTIFS('Outcome diagnoses'!$A$5:$A$5000,"SCD",'Outcome diagnoses'!$G$5:$G$5000,"no")</f>
        <v>0</v>
      </c>
      <c r="G24" s="18" t="n">
        <f aca="false">COUNTIFS('Outcome diagnoses'!$A$5:$A$5000,"AF",'Outcome diagnoses'!$G$5:$G$5000,"no")</f>
        <v>0</v>
      </c>
    </row>
    <row r="25" customFormat="false" ht="15" hidden="false" customHeight="false" outlineLevel="0" collapsed="false">
      <c r="A25" s="8" t="s">
        <v>94</v>
      </c>
      <c r="C25" s="18" t="n">
        <f aca="false">COUNTIFS('Labs &amp; vitals'!$A$5:$A$1000,"AMI")</f>
        <v>6</v>
      </c>
      <c r="D25" s="18" t="n">
        <f aca="false">COUNTIFS('Labs &amp; vitals'!$A$5:$A$1000,"Stroke")</f>
        <v>0</v>
      </c>
      <c r="E25" s="18" t="n">
        <f aca="false">COUNTIFS('Labs &amp; vitals'!$A$5:$A$1000,"HF")</f>
        <v>4</v>
      </c>
      <c r="F25" s="18" t="n">
        <f aca="false">COUNTIFS('Labs &amp; vitals'!$A$5:$A$1000,"SCD")</f>
        <v>0</v>
      </c>
      <c r="G25" s="18" t="n">
        <f aca="false">COUNTIFS('Labs &amp; vitals'!$A$5:$A$1000,"AF")</f>
        <v>0</v>
      </c>
    </row>
    <row r="26" customFormat="false" ht="15" hidden="false" customHeight="false" outlineLevel="0" collapsed="false">
      <c r="A26" s="8" t="s">
        <v>95</v>
      </c>
      <c r="C26" s="18" t="n">
        <f aca="false">COUNTIFS(Procedures!$A$5:$A$1000,"AMI")</f>
        <v>4</v>
      </c>
      <c r="D26" s="18" t="n">
        <f aca="false">COUNTIFS(Procedures!$A$5:$A$1000,"Stroke")</f>
        <v>8</v>
      </c>
      <c r="E26" s="18" t="n">
        <f aca="false">COUNTIFS(Procedures!$A$5:$A$1000,"HF")</f>
        <v>2</v>
      </c>
      <c r="F26" s="18" t="n">
        <f aca="false">COUNTIFS(Procedures!$A$5:$A$1000,"SCD")</f>
        <v>5</v>
      </c>
      <c r="G26" s="18" t="n">
        <f aca="false">COUNTIFS(Procedures!$A$5:$A$1000,"AF")</f>
        <v>3</v>
      </c>
    </row>
    <row r="27" customFormat="false" ht="15" hidden="false" customHeight="false" outlineLevel="0" collapsed="false">
      <c r="A27" s="8" t="s">
        <v>96</v>
      </c>
      <c r="C27" s="18" t="n">
        <f aca="false">COUNTIFS('Labs &amp; vitals'!$A$5:$A$1000,"All 5",'Labs &amp; vitals'!$C$5:$C$1000,"Model input (baseline)")</f>
        <v>26</v>
      </c>
      <c r="D27" s="18" t="n">
        <f aca="false">COUNTIFS('Labs &amp; vitals'!$A$5:$A$1000,"All 5",'Labs &amp; vitals'!$C$5:$C$1000,"Model input (baseline)")</f>
        <v>26</v>
      </c>
      <c r="E27" s="18" t="n">
        <f aca="false">COUNTIFS('Labs &amp; vitals'!$A$5:$A$1000,"All 5",'Labs &amp; vitals'!$C$5:$C$1000,"Model input (baseline)")</f>
        <v>26</v>
      </c>
      <c r="F27" s="18" t="n">
        <f aca="false">COUNTIFS('Labs &amp; vitals'!$A$5:$A$1000,"All 5",'Labs &amp; vitals'!$C$5:$C$1000,"Model input (baseline)")</f>
        <v>26</v>
      </c>
      <c r="G27" s="18" t="n">
        <f aca="false">COUNTIFS('Labs &amp; vitals'!$A$5:$A$1000,"All 5",'Labs &amp; vitals'!$C$5:$C$1000,"Model input (baseline)")</f>
        <v>26</v>
      </c>
    </row>
    <row r="28" customFormat="false" ht="15" hidden="false" customHeight="false" outlineLevel="0" collapsed="false">
      <c r="A28" s="8" t="s">
        <v>97</v>
      </c>
      <c r="C28" s="18" t="n">
        <f aca="false">COUNTA('History diagnoses'!$E$5:$E$5000)</f>
        <v>752</v>
      </c>
      <c r="D28" s="18" t="n">
        <f aca="false">COUNTA('History diagnoses'!$E$5:$E$5000)</f>
        <v>752</v>
      </c>
      <c r="E28" s="18" t="n">
        <f aca="false">COUNTA('History diagnoses'!$E$5:$E$5000)</f>
        <v>752</v>
      </c>
      <c r="F28" s="18" t="n">
        <f aca="false">COUNTA('History diagnoses'!$E$5:$E$5000)</f>
        <v>752</v>
      </c>
      <c r="G28" s="18" t="n">
        <f aca="false">COUNTA('History diagnoses'!$E$5:$E$5000)</f>
        <v>752</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80"/>
    <col collapsed="false" customWidth="true" hidden="false" outlineLevel="0" max="4" min="4" style="0" width="18"/>
    <col collapsed="false" customWidth="true" hidden="false" outlineLevel="0" max="5" min="5" style="0" width="44"/>
    <col collapsed="false" customWidth="true" hidden="false" outlineLevel="0" max="6" min="6" style="0" width="14"/>
  </cols>
  <sheetData>
    <row r="1" customFormat="false" ht="17.35" hidden="false" customHeight="false" outlineLevel="0" collapsed="false">
      <c r="A1" s="9" t="s">
        <v>98</v>
      </c>
    </row>
    <row r="2" customFormat="false" ht="30" hidden="false" customHeight="true" outlineLevel="0" collapsed="false">
      <c r="A2" s="10" t="s">
        <v>99</v>
      </c>
      <c r="B2" s="10"/>
      <c r="C2" s="10"/>
      <c r="D2" s="10"/>
      <c r="E2" s="10"/>
      <c r="F2" s="10"/>
    </row>
    <row r="4" customFormat="false" ht="23.85" hidden="false" customHeight="false" outlineLevel="0" collapsed="false">
      <c r="A4" s="11" t="s">
        <v>100</v>
      </c>
      <c r="B4" s="11" t="s">
        <v>101</v>
      </c>
      <c r="C4" s="11" t="s">
        <v>102</v>
      </c>
      <c r="D4" s="11" t="s">
        <v>103</v>
      </c>
      <c r="E4" s="11" t="s">
        <v>104</v>
      </c>
      <c r="F4" s="11" t="s">
        <v>105</v>
      </c>
    </row>
    <row r="5" customFormat="false" ht="23.85" hidden="false" customHeight="false" outlineLevel="0" collapsed="false">
      <c r="A5" s="12" t="s">
        <v>106</v>
      </c>
      <c r="B5" s="12" t="s">
        <v>107</v>
      </c>
      <c r="C5" s="12" t="s">
        <v>108</v>
      </c>
      <c r="D5" s="12" t="s">
        <v>109</v>
      </c>
      <c r="E5" s="12" t="s">
        <v>110</v>
      </c>
      <c r="F5" s="12" t="s">
        <v>111</v>
      </c>
    </row>
    <row r="6" customFormat="false" ht="15" hidden="false" customHeight="false" outlineLevel="0" collapsed="false">
      <c r="A6" s="12" t="s">
        <v>112</v>
      </c>
      <c r="B6" s="12" t="s">
        <v>107</v>
      </c>
      <c r="C6" s="12" t="s">
        <v>113</v>
      </c>
      <c r="D6" s="12" t="s">
        <v>109</v>
      </c>
      <c r="E6" s="12" t="s">
        <v>114</v>
      </c>
      <c r="F6" s="12" t="s">
        <v>111</v>
      </c>
    </row>
    <row r="7" customFormat="false" ht="15" hidden="false" customHeight="false" outlineLevel="0" collapsed="false">
      <c r="A7" s="12" t="s">
        <v>115</v>
      </c>
      <c r="B7" s="12" t="s">
        <v>107</v>
      </c>
      <c r="C7" s="12" t="s">
        <v>116</v>
      </c>
      <c r="D7" s="12" t="s">
        <v>109</v>
      </c>
      <c r="E7" s="12" t="s">
        <v>117</v>
      </c>
      <c r="F7" s="12" t="s">
        <v>111</v>
      </c>
    </row>
    <row r="8" customFormat="false" ht="23.85" hidden="false" customHeight="false" outlineLevel="0" collapsed="false">
      <c r="A8" s="12" t="s">
        <v>118</v>
      </c>
      <c r="B8" s="12" t="s">
        <v>107</v>
      </c>
      <c r="C8" s="12" t="s">
        <v>119</v>
      </c>
      <c r="D8" s="12" t="s">
        <v>109</v>
      </c>
      <c r="E8" s="12" t="s">
        <v>120</v>
      </c>
      <c r="F8" s="12" t="s">
        <v>111</v>
      </c>
    </row>
    <row r="9" customFormat="false" ht="23.85" hidden="false" customHeight="false" outlineLevel="0" collapsed="false">
      <c r="A9" s="12" t="s">
        <v>121</v>
      </c>
      <c r="B9" s="12" t="s">
        <v>107</v>
      </c>
      <c r="C9" s="12" t="s">
        <v>122</v>
      </c>
      <c r="D9" s="12" t="s">
        <v>109</v>
      </c>
      <c r="E9" s="12" t="s">
        <v>123</v>
      </c>
      <c r="F9" s="12" t="s">
        <v>111</v>
      </c>
    </row>
    <row r="10" customFormat="false" ht="23.85" hidden="false" customHeight="false" outlineLevel="0" collapsed="false">
      <c r="A10" s="12" t="s">
        <v>124</v>
      </c>
      <c r="B10" s="12" t="s">
        <v>107</v>
      </c>
      <c r="C10" s="12" t="s">
        <v>125</v>
      </c>
      <c r="D10" s="12" t="s">
        <v>109</v>
      </c>
      <c r="E10" s="12" t="s">
        <v>126</v>
      </c>
      <c r="F10" s="12" t="s">
        <v>111</v>
      </c>
    </row>
    <row r="11" customFormat="false" ht="23.85" hidden="false" customHeight="false" outlineLevel="0" collapsed="false">
      <c r="A11" s="12" t="s">
        <v>127</v>
      </c>
      <c r="B11" s="12" t="s">
        <v>107</v>
      </c>
      <c r="C11" s="12" t="s">
        <v>128</v>
      </c>
      <c r="D11" s="12" t="s">
        <v>109</v>
      </c>
      <c r="E11" s="12" t="s">
        <v>89</v>
      </c>
      <c r="F11" s="12" t="s">
        <v>111</v>
      </c>
    </row>
    <row r="12" customFormat="false" ht="15" hidden="false" customHeight="false" outlineLevel="0" collapsed="false">
      <c r="A12" s="12" t="s">
        <v>129</v>
      </c>
      <c r="B12" s="12" t="s">
        <v>107</v>
      </c>
      <c r="C12" s="12" t="s">
        <v>130</v>
      </c>
      <c r="D12" s="12" t="s">
        <v>109</v>
      </c>
      <c r="E12" s="12" t="s">
        <v>131</v>
      </c>
      <c r="F12" s="12" t="s">
        <v>111</v>
      </c>
    </row>
    <row r="13" customFormat="false" ht="15" hidden="false" customHeight="false" outlineLevel="0" collapsed="false">
      <c r="A13" s="12" t="s">
        <v>132</v>
      </c>
      <c r="B13" s="12" t="s">
        <v>107</v>
      </c>
      <c r="C13" s="12" t="s">
        <v>133</v>
      </c>
      <c r="D13" s="12" t="s">
        <v>109</v>
      </c>
      <c r="E13" s="12" t="s">
        <v>134</v>
      </c>
      <c r="F13" s="12" t="s">
        <v>111</v>
      </c>
    </row>
    <row r="14" customFormat="false" ht="23.85" hidden="false" customHeight="false" outlineLevel="0" collapsed="false">
      <c r="A14" s="12" t="s">
        <v>135</v>
      </c>
      <c r="B14" s="12" t="s">
        <v>107</v>
      </c>
      <c r="C14" s="12" t="s">
        <v>136</v>
      </c>
      <c r="D14" s="12" t="s">
        <v>109</v>
      </c>
      <c r="E14" s="12" t="s">
        <v>137</v>
      </c>
      <c r="F14" s="12" t="s">
        <v>111</v>
      </c>
    </row>
    <row r="15" customFormat="false" ht="15" hidden="false" customHeight="false" outlineLevel="0" collapsed="false">
      <c r="A15" s="12" t="s">
        <v>138</v>
      </c>
      <c r="B15" s="12" t="s">
        <v>139</v>
      </c>
      <c r="C15" s="12" t="s">
        <v>140</v>
      </c>
      <c r="D15" s="12" t="s">
        <v>109</v>
      </c>
      <c r="E15" s="12" t="s">
        <v>141</v>
      </c>
      <c r="F15" s="12" t="s">
        <v>111</v>
      </c>
    </row>
    <row r="16" customFormat="false" ht="15" hidden="false" customHeight="false" outlineLevel="0" collapsed="false">
      <c r="A16" s="12" t="s">
        <v>142</v>
      </c>
      <c r="B16" s="12" t="s">
        <v>139</v>
      </c>
      <c r="C16" s="12" t="s">
        <v>143</v>
      </c>
      <c r="D16" s="12" t="s">
        <v>109</v>
      </c>
      <c r="E16" s="12" t="s">
        <v>144</v>
      </c>
      <c r="F16" s="12" t="s">
        <v>111</v>
      </c>
    </row>
    <row r="17" customFormat="false" ht="15" hidden="false" customHeight="false" outlineLevel="0" collapsed="false">
      <c r="A17" s="12" t="s">
        <v>145</v>
      </c>
      <c r="B17" s="12" t="s">
        <v>146</v>
      </c>
      <c r="C17" s="12" t="s">
        <v>147</v>
      </c>
      <c r="D17" s="12" t="s">
        <v>148</v>
      </c>
      <c r="E17" s="12" t="s">
        <v>149</v>
      </c>
      <c r="F17" s="12" t="s">
        <v>111</v>
      </c>
    </row>
    <row r="18" customFormat="false" ht="15" hidden="false" customHeight="false" outlineLevel="0" collapsed="false">
      <c r="A18" s="12" t="s">
        <v>150</v>
      </c>
      <c r="B18" s="12" t="s">
        <v>146</v>
      </c>
      <c r="C18" s="12" t="s">
        <v>151</v>
      </c>
      <c r="D18" s="12" t="s">
        <v>109</v>
      </c>
      <c r="E18" s="12" t="s">
        <v>152</v>
      </c>
      <c r="F18" s="12" t="s">
        <v>153</v>
      </c>
    </row>
  </sheetData>
  <mergeCells count="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26"/>
    <col collapsed="false" customWidth="true" hidden="false" outlineLevel="0" max="5" min="4" style="0" width="11"/>
    <col collapsed="false" customWidth="true" hidden="false" outlineLevel="0" max="6" min="6" style="0" width="52"/>
    <col collapsed="false" customWidth="true" hidden="false" outlineLevel="0" max="7" min="7" style="0" width="20"/>
    <col collapsed="false" customWidth="true" hidden="false" outlineLevel="0" max="8" min="8" style="0" width="22"/>
    <col collapsed="false" customWidth="true" hidden="false" outlineLevel="0" max="9" min="9" style="0" width="48"/>
    <col collapsed="false" customWidth="true" hidden="false" outlineLevel="0" max="10" min="10" style="0" width="36"/>
  </cols>
  <sheetData>
    <row r="1" customFormat="false" ht="17.35" hidden="false" customHeight="false" outlineLevel="0" collapsed="false">
      <c r="A1" s="9" t="s">
        <v>154</v>
      </c>
    </row>
    <row r="2" customFormat="false" ht="30" hidden="false" customHeight="true" outlineLevel="0" collapsed="false">
      <c r="A2" s="10" t="s">
        <v>155</v>
      </c>
      <c r="B2" s="10"/>
      <c r="C2" s="10"/>
      <c r="D2" s="10"/>
      <c r="E2" s="10"/>
      <c r="F2" s="10"/>
      <c r="G2" s="10"/>
      <c r="H2" s="10"/>
      <c r="I2" s="10"/>
      <c r="J2" s="10"/>
    </row>
    <row r="4" customFormat="false" ht="23.85" hidden="false" customHeight="false" outlineLevel="0" collapsed="false">
      <c r="A4" s="11" t="s">
        <v>103</v>
      </c>
      <c r="B4" s="11" t="s">
        <v>156</v>
      </c>
      <c r="C4" s="11" t="s">
        <v>1</v>
      </c>
      <c r="D4" s="11" t="s">
        <v>157</v>
      </c>
      <c r="E4" s="11" t="s">
        <v>158</v>
      </c>
      <c r="F4" s="11" t="s">
        <v>159</v>
      </c>
      <c r="G4" s="11" t="s">
        <v>160</v>
      </c>
      <c r="H4" s="11" t="s">
        <v>161</v>
      </c>
      <c r="I4" s="11" t="s">
        <v>162</v>
      </c>
      <c r="J4" s="11" t="s">
        <v>50</v>
      </c>
    </row>
    <row r="5" customFormat="false" ht="15" hidden="false" customHeight="false" outlineLevel="0" collapsed="false">
      <c r="A5" s="12" t="s">
        <v>109</v>
      </c>
      <c r="B5" s="12" t="s">
        <v>163</v>
      </c>
      <c r="C5" s="12" t="s">
        <v>164</v>
      </c>
      <c r="D5" s="12" t="s">
        <v>165</v>
      </c>
      <c r="E5" s="12" t="s">
        <v>166</v>
      </c>
      <c r="F5" s="12" t="s">
        <v>167</v>
      </c>
      <c r="G5" s="12" t="s">
        <v>168</v>
      </c>
      <c r="H5" s="12" t="s">
        <v>124</v>
      </c>
      <c r="I5" s="12" t="s">
        <v>169</v>
      </c>
      <c r="J5" s="12"/>
    </row>
    <row r="6" customFormat="false" ht="15" hidden="false" customHeight="false" outlineLevel="0" collapsed="false">
      <c r="A6" s="12" t="s">
        <v>109</v>
      </c>
      <c r="B6" s="12" t="s">
        <v>163</v>
      </c>
      <c r="C6" s="12" t="s">
        <v>164</v>
      </c>
      <c r="D6" s="12" t="s">
        <v>165</v>
      </c>
      <c r="E6" s="12" t="s">
        <v>170</v>
      </c>
      <c r="F6" s="12" t="s">
        <v>171</v>
      </c>
      <c r="G6" s="12" t="s">
        <v>168</v>
      </c>
      <c r="H6" s="12" t="s">
        <v>124</v>
      </c>
      <c r="I6" s="12" t="s">
        <v>169</v>
      </c>
      <c r="J6" s="12"/>
    </row>
    <row r="7" customFormat="false" ht="15" hidden="false" customHeight="false" outlineLevel="0" collapsed="false">
      <c r="A7" s="12" t="s">
        <v>109</v>
      </c>
      <c r="B7" s="12" t="s">
        <v>172</v>
      </c>
      <c r="C7" s="12" t="s">
        <v>164</v>
      </c>
      <c r="D7" s="12" t="s">
        <v>165</v>
      </c>
      <c r="E7" s="12" t="s">
        <v>173</v>
      </c>
      <c r="F7" s="12" t="s">
        <v>174</v>
      </c>
      <c r="G7" s="12" t="s">
        <v>175</v>
      </c>
      <c r="H7" s="12" t="s">
        <v>124</v>
      </c>
      <c r="I7" s="12" t="s">
        <v>169</v>
      </c>
      <c r="J7" s="12"/>
    </row>
    <row r="8" customFormat="false" ht="15" hidden="false" customHeight="false" outlineLevel="0" collapsed="false">
      <c r="A8" s="12" t="s">
        <v>109</v>
      </c>
      <c r="B8" s="12" t="s">
        <v>172</v>
      </c>
      <c r="C8" s="12" t="s">
        <v>164</v>
      </c>
      <c r="D8" s="12" t="s">
        <v>165</v>
      </c>
      <c r="E8" s="12" t="s">
        <v>176</v>
      </c>
      <c r="F8" s="12" t="s">
        <v>177</v>
      </c>
      <c r="G8" s="12" t="s">
        <v>175</v>
      </c>
      <c r="H8" s="12" t="s">
        <v>124</v>
      </c>
      <c r="I8" s="12" t="s">
        <v>169</v>
      </c>
      <c r="J8" s="12"/>
    </row>
    <row r="9" customFormat="false" ht="23.85" hidden="false" customHeight="false" outlineLevel="0" collapsed="false">
      <c r="A9" s="12" t="s">
        <v>109</v>
      </c>
      <c r="B9" s="12" t="s">
        <v>178</v>
      </c>
      <c r="C9" s="12" t="s">
        <v>164</v>
      </c>
      <c r="D9" s="12" t="s">
        <v>165</v>
      </c>
      <c r="E9" s="12" t="s">
        <v>179</v>
      </c>
      <c r="F9" s="12" t="s">
        <v>180</v>
      </c>
      <c r="G9" s="12" t="s">
        <v>181</v>
      </c>
      <c r="H9" s="12" t="s">
        <v>124</v>
      </c>
      <c r="I9" s="12" t="s">
        <v>169</v>
      </c>
      <c r="J9" s="12" t="s">
        <v>182</v>
      </c>
    </row>
    <row r="10" customFormat="false" ht="15" hidden="false" customHeight="false" outlineLevel="0" collapsed="false">
      <c r="A10" s="12" t="s">
        <v>109</v>
      </c>
      <c r="B10" s="12" t="s">
        <v>183</v>
      </c>
      <c r="C10" s="12" t="s">
        <v>164</v>
      </c>
      <c r="D10" s="12" t="s">
        <v>165</v>
      </c>
      <c r="E10" s="12" t="s">
        <v>184</v>
      </c>
      <c r="F10" s="12" t="s">
        <v>185</v>
      </c>
      <c r="G10" s="12" t="s">
        <v>186</v>
      </c>
      <c r="H10" s="12" t="s">
        <v>124</v>
      </c>
      <c r="I10" s="12" t="s">
        <v>169</v>
      </c>
      <c r="J10" s="12"/>
    </row>
    <row r="11" customFormat="false" ht="15" hidden="false" customHeight="false" outlineLevel="0" collapsed="false">
      <c r="A11" s="12" t="s">
        <v>109</v>
      </c>
      <c r="B11" s="12" t="s">
        <v>183</v>
      </c>
      <c r="C11" s="12" t="s">
        <v>164</v>
      </c>
      <c r="D11" s="12" t="s">
        <v>165</v>
      </c>
      <c r="E11" s="12" t="s">
        <v>187</v>
      </c>
      <c r="F11" s="12" t="s">
        <v>188</v>
      </c>
      <c r="G11" s="12" t="s">
        <v>186</v>
      </c>
      <c r="H11" s="12" t="s">
        <v>124</v>
      </c>
      <c r="I11" s="12" t="s">
        <v>169</v>
      </c>
      <c r="J11" s="12"/>
    </row>
    <row r="12" customFormat="false" ht="15" hidden="false" customHeight="false" outlineLevel="0" collapsed="false">
      <c r="A12" s="12" t="s">
        <v>109</v>
      </c>
      <c r="B12" s="12" t="s">
        <v>189</v>
      </c>
      <c r="C12" s="12" t="s">
        <v>164</v>
      </c>
      <c r="D12" s="12" t="s">
        <v>165</v>
      </c>
      <c r="E12" s="12" t="s">
        <v>190</v>
      </c>
      <c r="F12" s="12" t="s">
        <v>191</v>
      </c>
      <c r="G12" s="12" t="s">
        <v>186</v>
      </c>
      <c r="H12" s="12" t="s">
        <v>124</v>
      </c>
      <c r="I12" s="12" t="s">
        <v>169</v>
      </c>
      <c r="J12" s="12"/>
    </row>
    <row r="13" customFormat="false" ht="15" hidden="false" customHeight="false" outlineLevel="0" collapsed="false">
      <c r="A13" s="12" t="s">
        <v>109</v>
      </c>
      <c r="B13" s="12" t="s">
        <v>189</v>
      </c>
      <c r="C13" s="12" t="s">
        <v>164</v>
      </c>
      <c r="D13" s="12" t="s">
        <v>165</v>
      </c>
      <c r="E13" s="12" t="s">
        <v>192</v>
      </c>
      <c r="F13" s="12" t="s">
        <v>193</v>
      </c>
      <c r="G13" s="12" t="s">
        <v>186</v>
      </c>
      <c r="H13" s="12" t="s">
        <v>124</v>
      </c>
      <c r="I13" s="12" t="s">
        <v>169</v>
      </c>
      <c r="J13" s="12"/>
    </row>
    <row r="14" customFormat="false" ht="15" hidden="false" customHeight="false" outlineLevel="0" collapsed="false">
      <c r="A14" s="12" t="s">
        <v>109</v>
      </c>
      <c r="B14" s="12" t="s">
        <v>194</v>
      </c>
      <c r="C14" s="12" t="s">
        <v>164</v>
      </c>
      <c r="D14" s="12" t="s">
        <v>165</v>
      </c>
      <c r="E14" s="12" t="s">
        <v>195</v>
      </c>
      <c r="F14" s="12" t="s">
        <v>196</v>
      </c>
      <c r="G14" s="12" t="s">
        <v>197</v>
      </c>
      <c r="H14" s="12" t="s">
        <v>124</v>
      </c>
      <c r="I14" s="12" t="s">
        <v>169</v>
      </c>
      <c r="J14" s="12"/>
    </row>
    <row r="15" customFormat="false" ht="15" hidden="false" customHeight="false" outlineLevel="0" collapsed="false">
      <c r="A15" s="12" t="s">
        <v>109</v>
      </c>
      <c r="B15" s="12" t="s">
        <v>198</v>
      </c>
      <c r="C15" s="12" t="s">
        <v>164</v>
      </c>
      <c r="D15" s="12" t="s">
        <v>165</v>
      </c>
      <c r="E15" s="12" t="s">
        <v>199</v>
      </c>
      <c r="F15" s="12" t="s">
        <v>200</v>
      </c>
      <c r="G15" s="12" t="s">
        <v>197</v>
      </c>
      <c r="H15" s="12" t="s">
        <v>124</v>
      </c>
      <c r="I15" s="12" t="s">
        <v>169</v>
      </c>
      <c r="J15" s="12"/>
    </row>
    <row r="16" customFormat="false" ht="23.85" hidden="false" customHeight="false" outlineLevel="0" collapsed="false">
      <c r="A16" s="12" t="s">
        <v>109</v>
      </c>
      <c r="B16" s="12" t="s">
        <v>201</v>
      </c>
      <c r="C16" s="12" t="s">
        <v>164</v>
      </c>
      <c r="D16" s="12" t="s">
        <v>165</v>
      </c>
      <c r="E16" s="12" t="s">
        <v>202</v>
      </c>
      <c r="F16" s="12" t="s">
        <v>203</v>
      </c>
      <c r="G16" s="12" t="s">
        <v>197</v>
      </c>
      <c r="H16" s="12" t="s">
        <v>124</v>
      </c>
      <c r="I16" s="12" t="s">
        <v>169</v>
      </c>
      <c r="J16" s="12"/>
    </row>
    <row r="17" customFormat="false" ht="23.85" hidden="false" customHeight="false" outlineLevel="0" collapsed="false">
      <c r="A17" s="12" t="s">
        <v>109</v>
      </c>
      <c r="B17" s="12" t="s">
        <v>201</v>
      </c>
      <c r="C17" s="12" t="s">
        <v>164</v>
      </c>
      <c r="D17" s="12" t="s">
        <v>165</v>
      </c>
      <c r="E17" s="12" t="s">
        <v>204</v>
      </c>
      <c r="F17" s="12" t="s">
        <v>205</v>
      </c>
      <c r="G17" s="12" t="s">
        <v>197</v>
      </c>
      <c r="H17" s="12" t="s">
        <v>124</v>
      </c>
      <c r="I17" s="12" t="s">
        <v>169</v>
      </c>
      <c r="J17" s="12"/>
    </row>
    <row r="18" customFormat="false" ht="15" hidden="false" customHeight="false" outlineLevel="0" collapsed="false">
      <c r="A18" s="12" t="s">
        <v>109</v>
      </c>
      <c r="B18" s="12" t="s">
        <v>201</v>
      </c>
      <c r="C18" s="12" t="s">
        <v>164</v>
      </c>
      <c r="D18" s="12" t="s">
        <v>165</v>
      </c>
      <c r="E18" s="12" t="s">
        <v>206</v>
      </c>
      <c r="F18" s="12" t="s">
        <v>207</v>
      </c>
      <c r="G18" s="12" t="s">
        <v>197</v>
      </c>
      <c r="H18" s="12" t="s">
        <v>124</v>
      </c>
      <c r="I18" s="12" t="s">
        <v>169</v>
      </c>
      <c r="J18" s="12"/>
    </row>
    <row r="19" customFormat="false" ht="15" hidden="false" customHeight="false" outlineLevel="0" collapsed="false">
      <c r="A19" s="12" t="s">
        <v>109</v>
      </c>
      <c r="B19" s="12" t="s">
        <v>208</v>
      </c>
      <c r="C19" s="12" t="s">
        <v>164</v>
      </c>
      <c r="D19" s="12" t="s">
        <v>165</v>
      </c>
      <c r="E19" s="12" t="s">
        <v>209</v>
      </c>
      <c r="F19" s="12" t="s">
        <v>210</v>
      </c>
      <c r="G19" s="12" t="s">
        <v>197</v>
      </c>
      <c r="H19" s="12" t="s">
        <v>124</v>
      </c>
      <c r="I19" s="12" t="s">
        <v>169</v>
      </c>
      <c r="J19" s="12"/>
    </row>
    <row r="20" customFormat="false" ht="15" hidden="false" customHeight="false" outlineLevel="0" collapsed="false">
      <c r="A20" s="12" t="s">
        <v>109</v>
      </c>
      <c r="B20" s="12" t="s">
        <v>211</v>
      </c>
      <c r="C20" s="12" t="s">
        <v>164</v>
      </c>
      <c r="D20" s="12" t="s">
        <v>165</v>
      </c>
      <c r="E20" s="12" t="s">
        <v>212</v>
      </c>
      <c r="F20" s="12" t="s">
        <v>213</v>
      </c>
      <c r="G20" s="12" t="s">
        <v>197</v>
      </c>
      <c r="H20" s="12" t="s">
        <v>124</v>
      </c>
      <c r="I20" s="12" t="s">
        <v>169</v>
      </c>
      <c r="J20" s="12"/>
    </row>
    <row r="21" customFormat="false" ht="15" hidden="false" customHeight="false" outlineLevel="0" collapsed="false">
      <c r="A21" s="12" t="s">
        <v>109</v>
      </c>
      <c r="B21" s="12" t="s">
        <v>211</v>
      </c>
      <c r="C21" s="12" t="s">
        <v>164</v>
      </c>
      <c r="D21" s="12" t="s">
        <v>165</v>
      </c>
      <c r="E21" s="12" t="s">
        <v>214</v>
      </c>
      <c r="F21" s="12" t="s">
        <v>215</v>
      </c>
      <c r="G21" s="12" t="s">
        <v>197</v>
      </c>
      <c r="H21" s="12" t="s">
        <v>124</v>
      </c>
      <c r="I21" s="12" t="s">
        <v>169</v>
      </c>
      <c r="J21" s="12"/>
    </row>
    <row r="22" customFormat="false" ht="15" hidden="false" customHeight="false" outlineLevel="0" collapsed="false">
      <c r="A22" s="12" t="s">
        <v>109</v>
      </c>
      <c r="B22" s="12" t="s">
        <v>216</v>
      </c>
      <c r="C22" s="12" t="s">
        <v>164</v>
      </c>
      <c r="D22" s="12" t="s">
        <v>165</v>
      </c>
      <c r="E22" s="12" t="s">
        <v>217</v>
      </c>
      <c r="F22" s="12" t="s">
        <v>218</v>
      </c>
      <c r="G22" s="12" t="s">
        <v>219</v>
      </c>
      <c r="H22" s="12" t="s">
        <v>124</v>
      </c>
      <c r="I22" s="12" t="s">
        <v>169</v>
      </c>
      <c r="J22" s="12"/>
    </row>
    <row r="23" customFormat="false" ht="15" hidden="false" customHeight="false" outlineLevel="0" collapsed="false">
      <c r="A23" s="12" t="s">
        <v>109</v>
      </c>
      <c r="B23" s="12" t="s">
        <v>216</v>
      </c>
      <c r="C23" s="12" t="s">
        <v>164</v>
      </c>
      <c r="D23" s="12" t="s">
        <v>165</v>
      </c>
      <c r="E23" s="12" t="s">
        <v>220</v>
      </c>
      <c r="F23" s="12" t="s">
        <v>221</v>
      </c>
      <c r="G23" s="12" t="s">
        <v>219</v>
      </c>
      <c r="H23" s="12" t="s">
        <v>124</v>
      </c>
      <c r="I23" s="12" t="s">
        <v>169</v>
      </c>
      <c r="J23" s="12"/>
    </row>
    <row r="24" customFormat="false" ht="23.85" hidden="false" customHeight="false" outlineLevel="0" collapsed="false">
      <c r="A24" s="12" t="s">
        <v>109</v>
      </c>
      <c r="B24" s="12" t="s">
        <v>222</v>
      </c>
      <c r="C24" s="12" t="s">
        <v>164</v>
      </c>
      <c r="D24" s="12" t="s">
        <v>165</v>
      </c>
      <c r="E24" s="12" t="s">
        <v>223</v>
      </c>
      <c r="F24" s="12" t="s">
        <v>224</v>
      </c>
      <c r="G24" s="12" t="s">
        <v>225</v>
      </c>
      <c r="H24" s="12" t="s">
        <v>124</v>
      </c>
      <c r="I24" s="12" t="s">
        <v>169</v>
      </c>
      <c r="J24" s="12"/>
    </row>
    <row r="25" customFormat="false" ht="15" hidden="false" customHeight="false" outlineLevel="0" collapsed="false">
      <c r="A25" s="12" t="s">
        <v>109</v>
      </c>
      <c r="B25" s="12" t="s">
        <v>222</v>
      </c>
      <c r="C25" s="12" t="s">
        <v>164</v>
      </c>
      <c r="D25" s="12" t="s">
        <v>165</v>
      </c>
      <c r="E25" s="12" t="s">
        <v>226</v>
      </c>
      <c r="F25" s="12" t="s">
        <v>227</v>
      </c>
      <c r="G25" s="12" t="s">
        <v>225</v>
      </c>
      <c r="H25" s="12" t="s">
        <v>124</v>
      </c>
      <c r="I25" s="12" t="s">
        <v>169</v>
      </c>
      <c r="J25" s="12"/>
    </row>
    <row r="26" customFormat="false" ht="15" hidden="false" customHeight="false" outlineLevel="0" collapsed="false">
      <c r="A26" s="12" t="s">
        <v>109</v>
      </c>
      <c r="B26" s="12" t="s">
        <v>228</v>
      </c>
      <c r="C26" s="12" t="s">
        <v>164</v>
      </c>
      <c r="D26" s="12" t="s">
        <v>165</v>
      </c>
      <c r="E26" s="12" t="s">
        <v>229</v>
      </c>
      <c r="F26" s="12" t="s">
        <v>230</v>
      </c>
      <c r="G26" s="12" t="s">
        <v>231</v>
      </c>
      <c r="H26" s="12" t="s">
        <v>124</v>
      </c>
      <c r="I26" s="12" t="s">
        <v>169</v>
      </c>
      <c r="J26" s="12"/>
    </row>
    <row r="27" customFormat="false" ht="15" hidden="false" customHeight="false" outlineLevel="0" collapsed="false">
      <c r="A27" s="12" t="s">
        <v>109</v>
      </c>
      <c r="B27" s="12" t="s">
        <v>228</v>
      </c>
      <c r="C27" s="12" t="s">
        <v>164</v>
      </c>
      <c r="D27" s="12" t="s">
        <v>165</v>
      </c>
      <c r="E27" s="12" t="s">
        <v>232</v>
      </c>
      <c r="F27" s="12" t="s">
        <v>233</v>
      </c>
      <c r="G27" s="12" t="s">
        <v>231</v>
      </c>
      <c r="H27" s="12" t="s">
        <v>124</v>
      </c>
      <c r="I27" s="12" t="s">
        <v>169</v>
      </c>
      <c r="J27" s="12"/>
    </row>
    <row r="28" customFormat="false" ht="15" hidden="false" customHeight="false" outlineLevel="0" collapsed="false">
      <c r="A28" s="12" t="s">
        <v>109</v>
      </c>
      <c r="B28" s="12" t="s">
        <v>228</v>
      </c>
      <c r="C28" s="12" t="s">
        <v>164</v>
      </c>
      <c r="D28" s="12" t="s">
        <v>165</v>
      </c>
      <c r="E28" s="12" t="s">
        <v>234</v>
      </c>
      <c r="F28" s="12" t="s">
        <v>235</v>
      </c>
      <c r="G28" s="12" t="s">
        <v>231</v>
      </c>
      <c r="H28" s="12" t="s">
        <v>124</v>
      </c>
      <c r="I28" s="12" t="s">
        <v>169</v>
      </c>
      <c r="J28" s="12"/>
    </row>
    <row r="29" customFormat="false" ht="15" hidden="false" customHeight="false" outlineLevel="0" collapsed="false">
      <c r="A29" s="12" t="s">
        <v>109</v>
      </c>
      <c r="B29" s="12" t="s">
        <v>228</v>
      </c>
      <c r="C29" s="12" t="s">
        <v>164</v>
      </c>
      <c r="D29" s="12" t="s">
        <v>165</v>
      </c>
      <c r="E29" s="12" t="s">
        <v>236</v>
      </c>
      <c r="F29" s="12" t="s">
        <v>237</v>
      </c>
      <c r="G29" s="12" t="s">
        <v>231</v>
      </c>
      <c r="H29" s="12" t="s">
        <v>124</v>
      </c>
      <c r="I29" s="12" t="s">
        <v>169</v>
      </c>
      <c r="J29" s="12"/>
    </row>
    <row r="30" customFormat="false" ht="15" hidden="false" customHeight="false" outlineLevel="0" collapsed="false">
      <c r="A30" s="12" t="s">
        <v>109</v>
      </c>
      <c r="B30" s="12" t="s">
        <v>228</v>
      </c>
      <c r="C30" s="12" t="s">
        <v>164</v>
      </c>
      <c r="D30" s="12" t="s">
        <v>165</v>
      </c>
      <c r="E30" s="12" t="s">
        <v>238</v>
      </c>
      <c r="F30" s="12" t="s">
        <v>239</v>
      </c>
      <c r="G30" s="12" t="s">
        <v>231</v>
      </c>
      <c r="H30" s="12" t="s">
        <v>124</v>
      </c>
      <c r="I30" s="12" t="s">
        <v>169</v>
      </c>
      <c r="J30" s="12"/>
    </row>
    <row r="31" customFormat="false" ht="23.85" hidden="false" customHeight="false" outlineLevel="0" collapsed="false">
      <c r="A31" s="12" t="s">
        <v>109</v>
      </c>
      <c r="B31" s="12" t="s">
        <v>194</v>
      </c>
      <c r="C31" s="12" t="s">
        <v>240</v>
      </c>
      <c r="D31" s="12" t="s">
        <v>165</v>
      </c>
      <c r="E31" s="12" t="s">
        <v>195</v>
      </c>
      <c r="F31" s="12" t="s">
        <v>196</v>
      </c>
      <c r="G31" s="12" t="s">
        <v>197</v>
      </c>
      <c r="H31" s="12" t="s">
        <v>124</v>
      </c>
      <c r="I31" s="12" t="s">
        <v>241</v>
      </c>
      <c r="J31" s="12" t="s">
        <v>242</v>
      </c>
    </row>
    <row r="32" customFormat="false" ht="23.85" hidden="false" customHeight="false" outlineLevel="0" collapsed="false">
      <c r="A32" s="12" t="s">
        <v>109</v>
      </c>
      <c r="B32" s="12" t="s">
        <v>198</v>
      </c>
      <c r="C32" s="12" t="s">
        <v>240</v>
      </c>
      <c r="D32" s="12" t="s">
        <v>165</v>
      </c>
      <c r="E32" s="12" t="s">
        <v>199</v>
      </c>
      <c r="F32" s="12" t="s">
        <v>200</v>
      </c>
      <c r="G32" s="12" t="s">
        <v>197</v>
      </c>
      <c r="H32" s="12" t="s">
        <v>124</v>
      </c>
      <c r="I32" s="12" t="s">
        <v>241</v>
      </c>
      <c r="J32" s="12" t="s">
        <v>242</v>
      </c>
    </row>
    <row r="33" customFormat="false" ht="23.85" hidden="false" customHeight="false" outlineLevel="0" collapsed="false">
      <c r="A33" s="12" t="s">
        <v>56</v>
      </c>
      <c r="B33" s="12" t="s">
        <v>243</v>
      </c>
      <c r="C33" s="12" t="s">
        <v>244</v>
      </c>
      <c r="D33" s="12" t="s">
        <v>165</v>
      </c>
      <c r="E33" s="12" t="s">
        <v>245</v>
      </c>
      <c r="F33" s="12" t="s">
        <v>246</v>
      </c>
      <c r="G33" s="12" t="s">
        <v>247</v>
      </c>
      <c r="H33" s="12" t="s">
        <v>248</v>
      </c>
      <c r="I33" s="12" t="s">
        <v>249</v>
      </c>
      <c r="J33" s="12" t="s">
        <v>250</v>
      </c>
    </row>
    <row r="34" customFormat="false" ht="23.85" hidden="false" customHeight="false" outlineLevel="0" collapsed="false">
      <c r="A34" s="12" t="s">
        <v>56</v>
      </c>
      <c r="B34" s="12" t="s">
        <v>243</v>
      </c>
      <c r="C34" s="12" t="s">
        <v>244</v>
      </c>
      <c r="D34" s="12" t="s">
        <v>165</v>
      </c>
      <c r="E34" s="12" t="s">
        <v>251</v>
      </c>
      <c r="F34" s="12" t="s">
        <v>252</v>
      </c>
      <c r="G34" s="12" t="s">
        <v>247</v>
      </c>
      <c r="H34" s="12" t="s">
        <v>248</v>
      </c>
      <c r="I34" s="12" t="s">
        <v>249</v>
      </c>
      <c r="J34" s="12" t="s">
        <v>250</v>
      </c>
    </row>
    <row r="35" customFormat="false" ht="23.85" hidden="false" customHeight="false" outlineLevel="0" collapsed="false">
      <c r="A35" s="12" t="s">
        <v>56</v>
      </c>
      <c r="B35" s="12" t="s">
        <v>243</v>
      </c>
      <c r="C35" s="12" t="s">
        <v>244</v>
      </c>
      <c r="D35" s="12" t="s">
        <v>165</v>
      </c>
      <c r="E35" s="12" t="s">
        <v>253</v>
      </c>
      <c r="F35" s="12" t="s">
        <v>254</v>
      </c>
      <c r="G35" s="12" t="s">
        <v>247</v>
      </c>
      <c r="H35" s="12" t="s">
        <v>248</v>
      </c>
      <c r="I35" s="12" t="s">
        <v>249</v>
      </c>
      <c r="J35" s="12" t="s">
        <v>250</v>
      </c>
    </row>
    <row r="36" customFormat="false" ht="23.85" hidden="false" customHeight="false" outlineLevel="0" collapsed="false">
      <c r="A36" s="12" t="s">
        <v>56</v>
      </c>
      <c r="B36" s="12" t="s">
        <v>255</v>
      </c>
      <c r="C36" s="12" t="s">
        <v>244</v>
      </c>
      <c r="D36" s="12" t="s">
        <v>165</v>
      </c>
      <c r="E36" s="12" t="s">
        <v>256</v>
      </c>
      <c r="F36" s="12" t="s">
        <v>257</v>
      </c>
      <c r="G36" s="12" t="s">
        <v>247</v>
      </c>
      <c r="H36" s="12" t="s">
        <v>248</v>
      </c>
      <c r="I36" s="12" t="s">
        <v>249</v>
      </c>
      <c r="J36" s="12" t="s">
        <v>250</v>
      </c>
    </row>
    <row r="37" customFormat="false" ht="23.85" hidden="false" customHeight="false" outlineLevel="0" collapsed="false">
      <c r="A37" s="12" t="s">
        <v>56</v>
      </c>
      <c r="B37" s="12" t="s">
        <v>258</v>
      </c>
      <c r="C37" s="12" t="s">
        <v>244</v>
      </c>
      <c r="D37" s="12" t="s">
        <v>165</v>
      </c>
      <c r="E37" s="12" t="s">
        <v>259</v>
      </c>
      <c r="F37" s="12" t="s">
        <v>260</v>
      </c>
      <c r="G37" s="12" t="s">
        <v>247</v>
      </c>
      <c r="H37" s="12" t="s">
        <v>248</v>
      </c>
      <c r="I37" s="12" t="s">
        <v>249</v>
      </c>
      <c r="J37" s="12" t="s">
        <v>250</v>
      </c>
    </row>
    <row r="38" customFormat="false" ht="23.85" hidden="false" customHeight="false" outlineLevel="0" collapsed="false">
      <c r="A38" s="12" t="s">
        <v>56</v>
      </c>
      <c r="B38" s="12" t="s">
        <v>261</v>
      </c>
      <c r="C38" s="12" t="s">
        <v>244</v>
      </c>
      <c r="D38" s="12" t="s">
        <v>165</v>
      </c>
      <c r="E38" s="12" t="s">
        <v>262</v>
      </c>
      <c r="F38" s="12" t="s">
        <v>263</v>
      </c>
      <c r="G38" s="12" t="s">
        <v>247</v>
      </c>
      <c r="H38" s="12" t="s">
        <v>248</v>
      </c>
      <c r="I38" s="12" t="s">
        <v>249</v>
      </c>
      <c r="J38" s="12" t="s">
        <v>250</v>
      </c>
    </row>
    <row r="39" customFormat="false" ht="23.85" hidden="false" customHeight="false" outlineLevel="0" collapsed="false">
      <c r="A39" s="12" t="s">
        <v>58</v>
      </c>
      <c r="B39" s="12" t="s">
        <v>264</v>
      </c>
      <c r="C39" s="12" t="s">
        <v>244</v>
      </c>
      <c r="D39" s="12" t="s">
        <v>165</v>
      </c>
      <c r="E39" s="12" t="s">
        <v>265</v>
      </c>
      <c r="F39" s="12" t="s">
        <v>266</v>
      </c>
      <c r="G39" s="12" t="s">
        <v>267</v>
      </c>
      <c r="H39" s="12" t="s">
        <v>248</v>
      </c>
      <c r="I39" s="12" t="s">
        <v>268</v>
      </c>
      <c r="J39" s="12"/>
    </row>
    <row r="40" customFormat="false" ht="23.85" hidden="false" customHeight="false" outlineLevel="0" collapsed="false">
      <c r="A40" s="12" t="s">
        <v>58</v>
      </c>
      <c r="B40" s="12" t="s">
        <v>264</v>
      </c>
      <c r="C40" s="12" t="s">
        <v>244</v>
      </c>
      <c r="D40" s="12" t="s">
        <v>165</v>
      </c>
      <c r="E40" s="12" t="s">
        <v>269</v>
      </c>
      <c r="F40" s="12" t="s">
        <v>270</v>
      </c>
      <c r="G40" s="12" t="s">
        <v>267</v>
      </c>
      <c r="H40" s="12" t="s">
        <v>248</v>
      </c>
      <c r="I40" s="12" t="s">
        <v>268</v>
      </c>
      <c r="J40" s="12"/>
    </row>
    <row r="41" customFormat="false" ht="23.85" hidden="false" customHeight="false" outlineLevel="0" collapsed="false">
      <c r="A41" s="12" t="s">
        <v>58</v>
      </c>
      <c r="B41" s="12" t="s">
        <v>271</v>
      </c>
      <c r="C41" s="12" t="s">
        <v>244</v>
      </c>
      <c r="D41" s="12" t="s">
        <v>165</v>
      </c>
      <c r="E41" s="12" t="s">
        <v>272</v>
      </c>
      <c r="F41" s="12" t="s">
        <v>273</v>
      </c>
      <c r="G41" s="12" t="s">
        <v>267</v>
      </c>
      <c r="H41" s="12" t="s">
        <v>248</v>
      </c>
      <c r="I41" s="12" t="s">
        <v>268</v>
      </c>
      <c r="J41" s="12"/>
    </row>
    <row r="42" customFormat="false" ht="23.85" hidden="false" customHeight="false" outlineLevel="0" collapsed="false">
      <c r="A42" s="12" t="s">
        <v>58</v>
      </c>
      <c r="B42" s="12" t="s">
        <v>271</v>
      </c>
      <c r="C42" s="12" t="s">
        <v>244</v>
      </c>
      <c r="D42" s="12" t="s">
        <v>165</v>
      </c>
      <c r="E42" s="12" t="s">
        <v>274</v>
      </c>
      <c r="F42" s="12" t="s">
        <v>275</v>
      </c>
      <c r="G42" s="12" t="s">
        <v>267</v>
      </c>
      <c r="H42" s="12" t="s">
        <v>248</v>
      </c>
      <c r="I42" s="12" t="s">
        <v>268</v>
      </c>
      <c r="J42" s="12"/>
    </row>
  </sheetData>
  <mergeCells count="1">
    <mergeCell ref="A2:J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I7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2"/>
    <col collapsed="false" customWidth="true" hidden="false" outlineLevel="0" max="5" min="4" style="0" width="11"/>
    <col collapsed="false" customWidth="true" hidden="false" outlineLevel="0" max="6" min="6" style="0" width="70"/>
    <col collapsed="false" customWidth="true" hidden="false" outlineLevel="0" max="7" min="7" style="0" width="12"/>
    <col collapsed="false" customWidth="true" hidden="false" outlineLevel="0" max="8" min="8" style="0" width="26"/>
    <col collapsed="false" customWidth="true" hidden="false" outlineLevel="0" max="9" min="9" style="0" width="34"/>
  </cols>
  <sheetData>
    <row r="1" customFormat="false" ht="17.35" hidden="false" customHeight="false" outlineLevel="0" collapsed="false">
      <c r="A1" s="9" t="s">
        <v>276</v>
      </c>
    </row>
    <row r="2" customFormat="false" ht="30" hidden="false" customHeight="true" outlineLevel="0" collapsed="false">
      <c r="A2" s="10" t="s">
        <v>277</v>
      </c>
      <c r="B2" s="10"/>
      <c r="C2" s="10"/>
      <c r="D2" s="10"/>
      <c r="E2" s="10"/>
      <c r="F2" s="10"/>
      <c r="G2" s="10"/>
      <c r="H2" s="10"/>
      <c r="I2" s="10"/>
    </row>
    <row r="4" customFormat="false" ht="23.85" hidden="false" customHeight="false" outlineLevel="0" collapsed="false">
      <c r="A4" s="11" t="s">
        <v>103</v>
      </c>
      <c r="B4" s="11" t="s">
        <v>278</v>
      </c>
      <c r="C4" s="11" t="s">
        <v>1</v>
      </c>
      <c r="D4" s="11" t="s">
        <v>157</v>
      </c>
      <c r="E4" s="11" t="s">
        <v>158</v>
      </c>
      <c r="F4" s="11" t="s">
        <v>279</v>
      </c>
      <c r="G4" s="11" t="s">
        <v>280</v>
      </c>
      <c r="H4" s="11" t="s">
        <v>161</v>
      </c>
      <c r="I4" s="11" t="s">
        <v>162</v>
      </c>
    </row>
    <row r="5" customFormat="false" ht="23.85" hidden="false" customHeight="false" outlineLevel="0" collapsed="false">
      <c r="A5" s="12" t="s">
        <v>109</v>
      </c>
      <c r="B5" s="12" t="s">
        <v>281</v>
      </c>
      <c r="C5" s="12" t="s">
        <v>282</v>
      </c>
      <c r="D5" s="12" t="s">
        <v>283</v>
      </c>
      <c r="E5" s="12" t="s">
        <v>284</v>
      </c>
      <c r="F5" s="12" t="s">
        <v>285</v>
      </c>
      <c r="G5" s="12" t="s">
        <v>286</v>
      </c>
      <c r="H5" s="12" t="s">
        <v>287</v>
      </c>
      <c r="I5" s="12" t="s">
        <v>288</v>
      </c>
    </row>
    <row r="6" customFormat="false" ht="23.85" hidden="false" customHeight="false" outlineLevel="0" collapsed="false">
      <c r="A6" s="12" t="s">
        <v>109</v>
      </c>
      <c r="B6" s="12" t="s">
        <v>281</v>
      </c>
      <c r="C6" s="12" t="s">
        <v>282</v>
      </c>
      <c r="D6" s="12" t="s">
        <v>283</v>
      </c>
      <c r="E6" s="12" t="s">
        <v>289</v>
      </c>
      <c r="F6" s="12" t="s">
        <v>290</v>
      </c>
      <c r="G6" s="12" t="s">
        <v>286</v>
      </c>
      <c r="H6" s="12" t="s">
        <v>287</v>
      </c>
      <c r="I6" s="12" t="s">
        <v>288</v>
      </c>
    </row>
    <row r="7" customFormat="false" ht="23.85" hidden="false" customHeight="false" outlineLevel="0" collapsed="false">
      <c r="A7" s="12" t="s">
        <v>109</v>
      </c>
      <c r="B7" s="12" t="s">
        <v>281</v>
      </c>
      <c r="C7" s="12" t="s">
        <v>282</v>
      </c>
      <c r="D7" s="12" t="s">
        <v>283</v>
      </c>
      <c r="E7" s="12" t="s">
        <v>291</v>
      </c>
      <c r="F7" s="12" t="s">
        <v>292</v>
      </c>
      <c r="G7" s="12" t="s">
        <v>293</v>
      </c>
      <c r="H7" s="12" t="s">
        <v>287</v>
      </c>
      <c r="I7" s="12" t="s">
        <v>288</v>
      </c>
    </row>
    <row r="8" customFormat="false" ht="23.85" hidden="false" customHeight="false" outlineLevel="0" collapsed="false">
      <c r="A8" s="12" t="s">
        <v>109</v>
      </c>
      <c r="B8" s="12" t="s">
        <v>281</v>
      </c>
      <c r="C8" s="12" t="s">
        <v>282</v>
      </c>
      <c r="D8" s="12" t="s">
        <v>283</v>
      </c>
      <c r="E8" s="12" t="s">
        <v>294</v>
      </c>
      <c r="F8" s="12" t="s">
        <v>295</v>
      </c>
      <c r="G8" s="12" t="s">
        <v>293</v>
      </c>
      <c r="H8" s="12" t="s">
        <v>287</v>
      </c>
      <c r="I8" s="12" t="s">
        <v>288</v>
      </c>
    </row>
    <row r="9" customFormat="false" ht="23.85" hidden="false" customHeight="false" outlineLevel="0" collapsed="false">
      <c r="A9" s="12" t="s">
        <v>109</v>
      </c>
      <c r="B9" s="12" t="s">
        <v>281</v>
      </c>
      <c r="C9" s="12" t="s">
        <v>282</v>
      </c>
      <c r="D9" s="12" t="s">
        <v>283</v>
      </c>
      <c r="E9" s="12" t="s">
        <v>296</v>
      </c>
      <c r="F9" s="12" t="s">
        <v>297</v>
      </c>
      <c r="G9" s="12" t="s">
        <v>293</v>
      </c>
      <c r="H9" s="12" t="s">
        <v>287</v>
      </c>
      <c r="I9" s="12" t="s">
        <v>288</v>
      </c>
    </row>
    <row r="10" customFormat="false" ht="23.85" hidden="false" customHeight="false" outlineLevel="0" collapsed="false">
      <c r="A10" s="12" t="s">
        <v>109</v>
      </c>
      <c r="B10" s="12" t="s">
        <v>281</v>
      </c>
      <c r="C10" s="12" t="s">
        <v>282</v>
      </c>
      <c r="D10" s="12" t="s">
        <v>283</v>
      </c>
      <c r="E10" s="12" t="s">
        <v>298</v>
      </c>
      <c r="F10" s="12" t="s">
        <v>299</v>
      </c>
      <c r="G10" s="12" t="s">
        <v>286</v>
      </c>
      <c r="H10" s="12" t="s">
        <v>287</v>
      </c>
      <c r="I10" s="12" t="s">
        <v>288</v>
      </c>
    </row>
    <row r="11" customFormat="false" ht="23.85" hidden="false" customHeight="false" outlineLevel="0" collapsed="false">
      <c r="A11" s="12" t="s">
        <v>109</v>
      </c>
      <c r="B11" s="12" t="s">
        <v>281</v>
      </c>
      <c r="C11" s="12" t="s">
        <v>282</v>
      </c>
      <c r="D11" s="12" t="s">
        <v>283</v>
      </c>
      <c r="E11" s="12" t="s">
        <v>300</v>
      </c>
      <c r="F11" s="12" t="s">
        <v>301</v>
      </c>
      <c r="G11" s="12" t="s">
        <v>293</v>
      </c>
      <c r="H11" s="12" t="s">
        <v>287</v>
      </c>
      <c r="I11" s="12" t="s">
        <v>288</v>
      </c>
    </row>
    <row r="12" customFormat="false" ht="23.85" hidden="false" customHeight="false" outlineLevel="0" collapsed="false">
      <c r="A12" s="12" t="s">
        <v>109</v>
      </c>
      <c r="B12" s="12" t="s">
        <v>281</v>
      </c>
      <c r="C12" s="12" t="s">
        <v>282</v>
      </c>
      <c r="D12" s="12" t="s">
        <v>283</v>
      </c>
      <c r="E12" s="12" t="s">
        <v>302</v>
      </c>
      <c r="F12" s="12" t="s">
        <v>303</v>
      </c>
      <c r="G12" s="12" t="s">
        <v>293</v>
      </c>
      <c r="H12" s="12" t="s">
        <v>287</v>
      </c>
      <c r="I12" s="12" t="s">
        <v>288</v>
      </c>
    </row>
    <row r="13" customFormat="false" ht="23.85" hidden="false" customHeight="false" outlineLevel="0" collapsed="false">
      <c r="A13" s="12" t="s">
        <v>109</v>
      </c>
      <c r="B13" s="12" t="s">
        <v>281</v>
      </c>
      <c r="C13" s="12" t="s">
        <v>282</v>
      </c>
      <c r="D13" s="12" t="s">
        <v>283</v>
      </c>
      <c r="E13" s="12" t="s">
        <v>304</v>
      </c>
      <c r="F13" s="12" t="s">
        <v>305</v>
      </c>
      <c r="G13" s="12" t="s">
        <v>286</v>
      </c>
      <c r="H13" s="12" t="s">
        <v>287</v>
      </c>
      <c r="I13" s="12" t="s">
        <v>288</v>
      </c>
    </row>
    <row r="14" customFormat="false" ht="23.85" hidden="false" customHeight="false" outlineLevel="0" collapsed="false">
      <c r="A14" s="12" t="s">
        <v>109</v>
      </c>
      <c r="B14" s="12" t="s">
        <v>281</v>
      </c>
      <c r="C14" s="12" t="s">
        <v>282</v>
      </c>
      <c r="D14" s="12" t="s">
        <v>283</v>
      </c>
      <c r="E14" s="12" t="s">
        <v>306</v>
      </c>
      <c r="F14" s="12" t="s">
        <v>307</v>
      </c>
      <c r="G14" s="12" t="s">
        <v>293</v>
      </c>
      <c r="H14" s="12" t="s">
        <v>287</v>
      </c>
      <c r="I14" s="12" t="s">
        <v>288</v>
      </c>
    </row>
    <row r="15" customFormat="false" ht="23.85" hidden="false" customHeight="false" outlineLevel="0" collapsed="false">
      <c r="A15" s="12" t="s">
        <v>109</v>
      </c>
      <c r="B15" s="12" t="s">
        <v>281</v>
      </c>
      <c r="C15" s="12" t="s">
        <v>282</v>
      </c>
      <c r="D15" s="12" t="s">
        <v>283</v>
      </c>
      <c r="E15" s="12" t="s">
        <v>308</v>
      </c>
      <c r="F15" s="12" t="s">
        <v>309</v>
      </c>
      <c r="G15" s="12" t="s">
        <v>293</v>
      </c>
      <c r="H15" s="12" t="s">
        <v>287</v>
      </c>
      <c r="I15" s="12" t="s">
        <v>288</v>
      </c>
    </row>
    <row r="16" customFormat="false" ht="23.85" hidden="false" customHeight="false" outlineLevel="0" collapsed="false">
      <c r="A16" s="12" t="s">
        <v>109</v>
      </c>
      <c r="B16" s="12" t="s">
        <v>281</v>
      </c>
      <c r="C16" s="12" t="s">
        <v>282</v>
      </c>
      <c r="D16" s="12" t="s">
        <v>283</v>
      </c>
      <c r="E16" s="12" t="s">
        <v>310</v>
      </c>
      <c r="F16" s="12" t="s">
        <v>311</v>
      </c>
      <c r="G16" s="12" t="s">
        <v>293</v>
      </c>
      <c r="H16" s="12" t="s">
        <v>287</v>
      </c>
      <c r="I16" s="12" t="s">
        <v>288</v>
      </c>
    </row>
    <row r="17" customFormat="false" ht="23.85" hidden="false" customHeight="false" outlineLevel="0" collapsed="false">
      <c r="A17" s="12" t="s">
        <v>109</v>
      </c>
      <c r="B17" s="12" t="s">
        <v>281</v>
      </c>
      <c r="C17" s="12" t="s">
        <v>282</v>
      </c>
      <c r="D17" s="12" t="s">
        <v>283</v>
      </c>
      <c r="E17" s="12" t="s">
        <v>312</v>
      </c>
      <c r="F17" s="12" t="s">
        <v>313</v>
      </c>
      <c r="G17" s="12" t="s">
        <v>293</v>
      </c>
      <c r="H17" s="12" t="s">
        <v>287</v>
      </c>
      <c r="I17" s="12" t="s">
        <v>288</v>
      </c>
    </row>
    <row r="18" customFormat="false" ht="23.85" hidden="false" customHeight="false" outlineLevel="0" collapsed="false">
      <c r="A18" s="12" t="s">
        <v>109</v>
      </c>
      <c r="B18" s="12" t="s">
        <v>281</v>
      </c>
      <c r="C18" s="12" t="s">
        <v>282</v>
      </c>
      <c r="D18" s="12" t="s">
        <v>283</v>
      </c>
      <c r="E18" s="12" t="s">
        <v>314</v>
      </c>
      <c r="F18" s="12" t="s">
        <v>315</v>
      </c>
      <c r="G18" s="12" t="s">
        <v>293</v>
      </c>
      <c r="H18" s="12" t="s">
        <v>287</v>
      </c>
      <c r="I18" s="12" t="s">
        <v>288</v>
      </c>
    </row>
    <row r="19" customFormat="false" ht="23.85" hidden="false" customHeight="false" outlineLevel="0" collapsed="false">
      <c r="A19" s="12" t="s">
        <v>109</v>
      </c>
      <c r="B19" s="12" t="s">
        <v>281</v>
      </c>
      <c r="C19" s="12" t="s">
        <v>282</v>
      </c>
      <c r="D19" s="12" t="s">
        <v>283</v>
      </c>
      <c r="E19" s="12" t="s">
        <v>316</v>
      </c>
      <c r="F19" s="12" t="s">
        <v>317</v>
      </c>
      <c r="G19" s="12" t="s">
        <v>286</v>
      </c>
      <c r="H19" s="12" t="s">
        <v>287</v>
      </c>
      <c r="I19" s="12" t="s">
        <v>288</v>
      </c>
    </row>
    <row r="20" customFormat="false" ht="23.85" hidden="false" customHeight="false" outlineLevel="0" collapsed="false">
      <c r="A20" s="12" t="s">
        <v>109</v>
      </c>
      <c r="B20" s="12" t="s">
        <v>281</v>
      </c>
      <c r="C20" s="12" t="s">
        <v>282</v>
      </c>
      <c r="D20" s="12" t="s">
        <v>283</v>
      </c>
      <c r="E20" s="12" t="s">
        <v>318</v>
      </c>
      <c r="F20" s="12" t="s">
        <v>319</v>
      </c>
      <c r="G20" s="12" t="s">
        <v>293</v>
      </c>
      <c r="H20" s="12" t="s">
        <v>287</v>
      </c>
      <c r="I20" s="12" t="s">
        <v>288</v>
      </c>
    </row>
    <row r="21" customFormat="false" ht="23.85" hidden="false" customHeight="false" outlineLevel="0" collapsed="false">
      <c r="A21" s="12" t="s">
        <v>109</v>
      </c>
      <c r="B21" s="12" t="s">
        <v>281</v>
      </c>
      <c r="C21" s="12" t="s">
        <v>282</v>
      </c>
      <c r="D21" s="12" t="s">
        <v>283</v>
      </c>
      <c r="E21" s="12" t="s">
        <v>320</v>
      </c>
      <c r="F21" s="12" t="s">
        <v>321</v>
      </c>
      <c r="G21" s="12" t="s">
        <v>293</v>
      </c>
      <c r="H21" s="12" t="s">
        <v>287</v>
      </c>
      <c r="I21" s="12" t="s">
        <v>288</v>
      </c>
    </row>
    <row r="22" customFormat="false" ht="23.85" hidden="false" customHeight="false" outlineLevel="0" collapsed="false">
      <c r="A22" s="12" t="s">
        <v>109</v>
      </c>
      <c r="B22" s="12" t="s">
        <v>281</v>
      </c>
      <c r="C22" s="12" t="s">
        <v>282</v>
      </c>
      <c r="D22" s="12" t="s">
        <v>283</v>
      </c>
      <c r="E22" s="12" t="s">
        <v>322</v>
      </c>
      <c r="F22" s="12" t="s">
        <v>323</v>
      </c>
      <c r="G22" s="12" t="s">
        <v>293</v>
      </c>
      <c r="H22" s="12" t="s">
        <v>287</v>
      </c>
      <c r="I22" s="12" t="s">
        <v>288</v>
      </c>
    </row>
    <row r="23" customFormat="false" ht="23.85" hidden="false" customHeight="false" outlineLevel="0" collapsed="false">
      <c r="A23" s="12" t="s">
        <v>109</v>
      </c>
      <c r="B23" s="12" t="s">
        <v>281</v>
      </c>
      <c r="C23" s="12" t="s">
        <v>282</v>
      </c>
      <c r="D23" s="12" t="s">
        <v>283</v>
      </c>
      <c r="E23" s="12" t="s">
        <v>324</v>
      </c>
      <c r="F23" s="12" t="s">
        <v>325</v>
      </c>
      <c r="G23" s="12" t="s">
        <v>286</v>
      </c>
      <c r="H23" s="12" t="s">
        <v>287</v>
      </c>
      <c r="I23" s="12" t="s">
        <v>288</v>
      </c>
    </row>
    <row r="24" customFormat="false" ht="23.85" hidden="false" customHeight="false" outlineLevel="0" collapsed="false">
      <c r="A24" s="12" t="s">
        <v>109</v>
      </c>
      <c r="B24" s="12" t="s">
        <v>281</v>
      </c>
      <c r="C24" s="12" t="s">
        <v>282</v>
      </c>
      <c r="D24" s="12" t="s">
        <v>283</v>
      </c>
      <c r="E24" s="12" t="s">
        <v>326</v>
      </c>
      <c r="F24" s="12" t="s">
        <v>327</v>
      </c>
      <c r="G24" s="12" t="s">
        <v>293</v>
      </c>
      <c r="H24" s="12" t="s">
        <v>287</v>
      </c>
      <c r="I24" s="12" t="s">
        <v>288</v>
      </c>
    </row>
    <row r="25" customFormat="false" ht="23.85" hidden="false" customHeight="false" outlineLevel="0" collapsed="false">
      <c r="A25" s="12" t="s">
        <v>109</v>
      </c>
      <c r="B25" s="12" t="s">
        <v>281</v>
      </c>
      <c r="C25" s="12" t="s">
        <v>282</v>
      </c>
      <c r="D25" s="12" t="s">
        <v>283</v>
      </c>
      <c r="E25" s="12" t="s">
        <v>328</v>
      </c>
      <c r="F25" s="12" t="s">
        <v>329</v>
      </c>
      <c r="G25" s="12" t="s">
        <v>293</v>
      </c>
      <c r="H25" s="12" t="s">
        <v>287</v>
      </c>
      <c r="I25" s="12" t="s">
        <v>288</v>
      </c>
    </row>
    <row r="26" customFormat="false" ht="23.85" hidden="false" customHeight="false" outlineLevel="0" collapsed="false">
      <c r="A26" s="12" t="s">
        <v>109</v>
      </c>
      <c r="B26" s="12" t="s">
        <v>281</v>
      </c>
      <c r="C26" s="12" t="s">
        <v>282</v>
      </c>
      <c r="D26" s="12" t="s">
        <v>283</v>
      </c>
      <c r="E26" s="12" t="s">
        <v>330</v>
      </c>
      <c r="F26" s="12" t="s">
        <v>331</v>
      </c>
      <c r="G26" s="12" t="s">
        <v>293</v>
      </c>
      <c r="H26" s="12" t="s">
        <v>287</v>
      </c>
      <c r="I26" s="12" t="s">
        <v>288</v>
      </c>
    </row>
    <row r="27" customFormat="false" ht="23.85" hidden="false" customHeight="false" outlineLevel="0" collapsed="false">
      <c r="A27" s="12" t="s">
        <v>109</v>
      </c>
      <c r="B27" s="12" t="s">
        <v>281</v>
      </c>
      <c r="C27" s="12" t="s">
        <v>282</v>
      </c>
      <c r="D27" s="12" t="s">
        <v>283</v>
      </c>
      <c r="E27" s="12" t="s">
        <v>332</v>
      </c>
      <c r="F27" s="12" t="s">
        <v>333</v>
      </c>
      <c r="G27" s="12" t="s">
        <v>293</v>
      </c>
      <c r="H27" s="12" t="s">
        <v>287</v>
      </c>
      <c r="I27" s="12" t="s">
        <v>288</v>
      </c>
    </row>
    <row r="28" customFormat="false" ht="23.85" hidden="false" customHeight="false" outlineLevel="0" collapsed="false">
      <c r="A28" s="12" t="s">
        <v>109</v>
      </c>
      <c r="B28" s="12" t="s">
        <v>281</v>
      </c>
      <c r="C28" s="12" t="s">
        <v>282</v>
      </c>
      <c r="D28" s="12" t="s">
        <v>283</v>
      </c>
      <c r="E28" s="12" t="s">
        <v>334</v>
      </c>
      <c r="F28" s="12" t="s">
        <v>335</v>
      </c>
      <c r="G28" s="12" t="s">
        <v>293</v>
      </c>
      <c r="H28" s="12" t="s">
        <v>287</v>
      </c>
      <c r="I28" s="12" t="s">
        <v>288</v>
      </c>
    </row>
    <row r="29" customFormat="false" ht="23.85" hidden="false" customHeight="false" outlineLevel="0" collapsed="false">
      <c r="A29" s="12" t="s">
        <v>109</v>
      </c>
      <c r="B29" s="12" t="s">
        <v>281</v>
      </c>
      <c r="C29" s="12" t="s">
        <v>282</v>
      </c>
      <c r="D29" s="12" t="s">
        <v>283</v>
      </c>
      <c r="E29" s="12" t="s">
        <v>336</v>
      </c>
      <c r="F29" s="12" t="s">
        <v>337</v>
      </c>
      <c r="G29" s="12" t="s">
        <v>293</v>
      </c>
      <c r="H29" s="12" t="s">
        <v>287</v>
      </c>
      <c r="I29" s="12" t="s">
        <v>288</v>
      </c>
    </row>
    <row r="30" customFormat="false" ht="23.85" hidden="false" customHeight="false" outlineLevel="0" collapsed="false">
      <c r="A30" s="12" t="s">
        <v>109</v>
      </c>
      <c r="B30" s="12" t="s">
        <v>281</v>
      </c>
      <c r="C30" s="12" t="s">
        <v>282</v>
      </c>
      <c r="D30" s="12" t="s">
        <v>338</v>
      </c>
      <c r="E30" s="12" t="s">
        <v>339</v>
      </c>
      <c r="F30" s="12" t="s">
        <v>340</v>
      </c>
      <c r="G30" s="12" t="s">
        <v>293</v>
      </c>
      <c r="H30" s="12" t="s">
        <v>287</v>
      </c>
      <c r="I30" s="12" t="s">
        <v>288</v>
      </c>
    </row>
    <row r="31" customFormat="false" ht="23.85" hidden="false" customHeight="false" outlineLevel="0" collapsed="false">
      <c r="A31" s="12" t="s">
        <v>109</v>
      </c>
      <c r="B31" s="12" t="s">
        <v>281</v>
      </c>
      <c r="C31" s="12" t="s">
        <v>282</v>
      </c>
      <c r="D31" s="12" t="s">
        <v>338</v>
      </c>
      <c r="E31" s="12" t="s">
        <v>341</v>
      </c>
      <c r="F31" s="12" t="s">
        <v>342</v>
      </c>
      <c r="G31" s="12" t="s">
        <v>293</v>
      </c>
      <c r="H31" s="12" t="s">
        <v>287</v>
      </c>
      <c r="I31" s="12" t="s">
        <v>288</v>
      </c>
    </row>
    <row r="32" customFormat="false" ht="23.85" hidden="false" customHeight="false" outlineLevel="0" collapsed="false">
      <c r="A32" s="12" t="s">
        <v>109</v>
      </c>
      <c r="B32" s="12" t="s">
        <v>281</v>
      </c>
      <c r="C32" s="12" t="s">
        <v>282</v>
      </c>
      <c r="D32" s="12" t="s">
        <v>338</v>
      </c>
      <c r="E32" s="12" t="s">
        <v>343</v>
      </c>
      <c r="F32" s="12" t="s">
        <v>344</v>
      </c>
      <c r="G32" s="12" t="s">
        <v>293</v>
      </c>
      <c r="H32" s="12" t="s">
        <v>287</v>
      </c>
      <c r="I32" s="12" t="s">
        <v>288</v>
      </c>
    </row>
    <row r="33" customFormat="false" ht="23.85" hidden="false" customHeight="false" outlineLevel="0" collapsed="false">
      <c r="A33" s="12" t="s">
        <v>109</v>
      </c>
      <c r="B33" s="12" t="s">
        <v>281</v>
      </c>
      <c r="C33" s="12" t="s">
        <v>282</v>
      </c>
      <c r="D33" s="12" t="s">
        <v>338</v>
      </c>
      <c r="E33" s="12" t="s">
        <v>345</v>
      </c>
      <c r="F33" s="12" t="s">
        <v>346</v>
      </c>
      <c r="G33" s="12" t="s">
        <v>293</v>
      </c>
      <c r="H33" s="12" t="s">
        <v>287</v>
      </c>
      <c r="I33" s="12" t="s">
        <v>288</v>
      </c>
    </row>
    <row r="34" customFormat="false" ht="23.85" hidden="false" customHeight="false" outlineLevel="0" collapsed="false">
      <c r="A34" s="12" t="s">
        <v>109</v>
      </c>
      <c r="B34" s="12" t="s">
        <v>281</v>
      </c>
      <c r="C34" s="12" t="s">
        <v>282</v>
      </c>
      <c r="D34" s="12" t="s">
        <v>338</v>
      </c>
      <c r="E34" s="12" t="s">
        <v>347</v>
      </c>
      <c r="F34" s="12" t="s">
        <v>348</v>
      </c>
      <c r="G34" s="12" t="s">
        <v>293</v>
      </c>
      <c r="H34" s="12" t="s">
        <v>287</v>
      </c>
      <c r="I34" s="12" t="s">
        <v>288</v>
      </c>
    </row>
    <row r="35" customFormat="false" ht="23.85" hidden="false" customHeight="false" outlineLevel="0" collapsed="false">
      <c r="A35" s="12" t="s">
        <v>109</v>
      </c>
      <c r="B35" s="12" t="s">
        <v>281</v>
      </c>
      <c r="C35" s="12" t="s">
        <v>282</v>
      </c>
      <c r="D35" s="12" t="s">
        <v>338</v>
      </c>
      <c r="E35" s="12" t="s">
        <v>349</v>
      </c>
      <c r="F35" s="12" t="s">
        <v>350</v>
      </c>
      <c r="G35" s="12" t="s">
        <v>293</v>
      </c>
      <c r="H35" s="12" t="s">
        <v>287</v>
      </c>
      <c r="I35" s="12" t="s">
        <v>288</v>
      </c>
    </row>
    <row r="36" customFormat="false" ht="23.85" hidden="false" customHeight="false" outlineLevel="0" collapsed="false">
      <c r="A36" s="12" t="s">
        <v>109</v>
      </c>
      <c r="B36" s="12" t="s">
        <v>281</v>
      </c>
      <c r="C36" s="12" t="s">
        <v>282</v>
      </c>
      <c r="D36" s="12" t="s">
        <v>338</v>
      </c>
      <c r="E36" s="12" t="s">
        <v>351</v>
      </c>
      <c r="F36" s="12" t="s">
        <v>352</v>
      </c>
      <c r="G36" s="12" t="s">
        <v>293</v>
      </c>
      <c r="H36" s="12" t="s">
        <v>287</v>
      </c>
      <c r="I36" s="12" t="s">
        <v>288</v>
      </c>
    </row>
    <row r="37" customFormat="false" ht="23.85" hidden="false" customHeight="false" outlineLevel="0" collapsed="false">
      <c r="A37" s="12" t="s">
        <v>109</v>
      </c>
      <c r="B37" s="12" t="s">
        <v>281</v>
      </c>
      <c r="C37" s="12" t="s">
        <v>282</v>
      </c>
      <c r="D37" s="12" t="s">
        <v>338</v>
      </c>
      <c r="E37" s="12" t="s">
        <v>353</v>
      </c>
      <c r="F37" s="12" t="s">
        <v>354</v>
      </c>
      <c r="G37" s="12" t="s">
        <v>293</v>
      </c>
      <c r="H37" s="12" t="s">
        <v>287</v>
      </c>
      <c r="I37" s="12" t="s">
        <v>288</v>
      </c>
    </row>
    <row r="38" customFormat="false" ht="23.85" hidden="false" customHeight="false" outlineLevel="0" collapsed="false">
      <c r="A38" s="12" t="s">
        <v>109</v>
      </c>
      <c r="B38" s="12" t="s">
        <v>281</v>
      </c>
      <c r="C38" s="12" t="s">
        <v>282</v>
      </c>
      <c r="D38" s="12" t="s">
        <v>338</v>
      </c>
      <c r="E38" s="12" t="s">
        <v>355</v>
      </c>
      <c r="F38" s="12" t="s">
        <v>356</v>
      </c>
      <c r="G38" s="12" t="s">
        <v>293</v>
      </c>
      <c r="H38" s="12" t="s">
        <v>287</v>
      </c>
      <c r="I38" s="12" t="s">
        <v>288</v>
      </c>
    </row>
    <row r="39" customFormat="false" ht="23.85" hidden="false" customHeight="false" outlineLevel="0" collapsed="false">
      <c r="A39" s="12" t="s">
        <v>109</v>
      </c>
      <c r="B39" s="12" t="s">
        <v>281</v>
      </c>
      <c r="C39" s="12" t="s">
        <v>282</v>
      </c>
      <c r="D39" s="12" t="s">
        <v>338</v>
      </c>
      <c r="E39" s="12" t="s">
        <v>357</v>
      </c>
      <c r="F39" s="12" t="s">
        <v>358</v>
      </c>
      <c r="G39" s="12" t="s">
        <v>293</v>
      </c>
      <c r="H39" s="12" t="s">
        <v>287</v>
      </c>
      <c r="I39" s="12" t="s">
        <v>288</v>
      </c>
    </row>
    <row r="40" customFormat="false" ht="23.85" hidden="false" customHeight="false" outlineLevel="0" collapsed="false">
      <c r="A40" s="12" t="s">
        <v>109</v>
      </c>
      <c r="B40" s="12" t="s">
        <v>281</v>
      </c>
      <c r="C40" s="12" t="s">
        <v>282</v>
      </c>
      <c r="D40" s="12" t="s">
        <v>338</v>
      </c>
      <c r="E40" s="12" t="s">
        <v>359</v>
      </c>
      <c r="F40" s="12" t="s">
        <v>360</v>
      </c>
      <c r="G40" s="12" t="s">
        <v>293</v>
      </c>
      <c r="H40" s="12" t="s">
        <v>287</v>
      </c>
      <c r="I40" s="12" t="s">
        <v>288</v>
      </c>
    </row>
    <row r="41" customFormat="false" ht="23.85" hidden="false" customHeight="false" outlineLevel="0" collapsed="false">
      <c r="A41" s="12" t="s">
        <v>109</v>
      </c>
      <c r="B41" s="12" t="s">
        <v>281</v>
      </c>
      <c r="C41" s="12" t="s">
        <v>282</v>
      </c>
      <c r="D41" s="12" t="s">
        <v>338</v>
      </c>
      <c r="E41" s="12" t="s">
        <v>361</v>
      </c>
      <c r="F41" s="12" t="s">
        <v>362</v>
      </c>
      <c r="G41" s="12" t="s">
        <v>293</v>
      </c>
      <c r="H41" s="12" t="s">
        <v>287</v>
      </c>
      <c r="I41" s="12" t="s">
        <v>288</v>
      </c>
    </row>
    <row r="42" customFormat="false" ht="23.85" hidden="false" customHeight="false" outlineLevel="0" collapsed="false">
      <c r="A42" s="12" t="s">
        <v>109</v>
      </c>
      <c r="B42" s="12" t="s">
        <v>281</v>
      </c>
      <c r="C42" s="12" t="s">
        <v>282</v>
      </c>
      <c r="D42" s="12" t="s">
        <v>338</v>
      </c>
      <c r="E42" s="12" t="s">
        <v>363</v>
      </c>
      <c r="F42" s="12" t="s">
        <v>364</v>
      </c>
      <c r="G42" s="12" t="s">
        <v>293</v>
      </c>
      <c r="H42" s="12" t="s">
        <v>287</v>
      </c>
      <c r="I42" s="12" t="s">
        <v>288</v>
      </c>
    </row>
    <row r="43" customFormat="false" ht="23.85" hidden="false" customHeight="false" outlineLevel="0" collapsed="false">
      <c r="A43" s="12" t="s">
        <v>109</v>
      </c>
      <c r="B43" s="12" t="s">
        <v>281</v>
      </c>
      <c r="C43" s="12" t="s">
        <v>282</v>
      </c>
      <c r="D43" s="12" t="s">
        <v>338</v>
      </c>
      <c r="E43" s="12" t="s">
        <v>365</v>
      </c>
      <c r="F43" s="12" t="s">
        <v>366</v>
      </c>
      <c r="G43" s="12" t="s">
        <v>293</v>
      </c>
      <c r="H43" s="12" t="s">
        <v>287</v>
      </c>
      <c r="I43" s="12" t="s">
        <v>288</v>
      </c>
    </row>
    <row r="44" customFormat="false" ht="23.85" hidden="false" customHeight="false" outlineLevel="0" collapsed="false">
      <c r="A44" s="12" t="s">
        <v>109</v>
      </c>
      <c r="B44" s="12" t="s">
        <v>281</v>
      </c>
      <c r="C44" s="12" t="s">
        <v>282</v>
      </c>
      <c r="D44" s="12" t="s">
        <v>338</v>
      </c>
      <c r="E44" s="12" t="s">
        <v>367</v>
      </c>
      <c r="F44" s="12" t="s">
        <v>368</v>
      </c>
      <c r="G44" s="12" t="s">
        <v>293</v>
      </c>
      <c r="H44" s="12" t="s">
        <v>287</v>
      </c>
      <c r="I44" s="12" t="s">
        <v>288</v>
      </c>
    </row>
    <row r="45" customFormat="false" ht="23.85" hidden="false" customHeight="false" outlineLevel="0" collapsed="false">
      <c r="A45" s="12" t="s">
        <v>109</v>
      </c>
      <c r="B45" s="12" t="s">
        <v>281</v>
      </c>
      <c r="C45" s="12" t="s">
        <v>282</v>
      </c>
      <c r="D45" s="12" t="s">
        <v>338</v>
      </c>
      <c r="E45" s="12" t="s">
        <v>369</v>
      </c>
      <c r="F45" s="12" t="s">
        <v>370</v>
      </c>
      <c r="G45" s="12" t="s">
        <v>293</v>
      </c>
      <c r="H45" s="12" t="s">
        <v>287</v>
      </c>
      <c r="I45" s="12" t="s">
        <v>288</v>
      </c>
    </row>
    <row r="46" customFormat="false" ht="23.85" hidden="false" customHeight="false" outlineLevel="0" collapsed="false">
      <c r="A46" s="12" t="s">
        <v>109</v>
      </c>
      <c r="B46" s="12" t="s">
        <v>281</v>
      </c>
      <c r="C46" s="12" t="s">
        <v>282</v>
      </c>
      <c r="D46" s="12" t="s">
        <v>338</v>
      </c>
      <c r="E46" s="12" t="s">
        <v>371</v>
      </c>
      <c r="F46" s="12" t="s">
        <v>372</v>
      </c>
      <c r="G46" s="12" t="s">
        <v>293</v>
      </c>
      <c r="H46" s="12" t="s">
        <v>287</v>
      </c>
      <c r="I46" s="12" t="s">
        <v>288</v>
      </c>
    </row>
    <row r="47" customFormat="false" ht="23.85" hidden="false" customHeight="false" outlineLevel="0" collapsed="false">
      <c r="A47" s="12" t="s">
        <v>109</v>
      </c>
      <c r="B47" s="12" t="s">
        <v>281</v>
      </c>
      <c r="C47" s="12" t="s">
        <v>282</v>
      </c>
      <c r="D47" s="12" t="s">
        <v>338</v>
      </c>
      <c r="E47" s="12" t="s">
        <v>373</v>
      </c>
      <c r="F47" s="12" t="s">
        <v>374</v>
      </c>
      <c r="G47" s="12" t="s">
        <v>293</v>
      </c>
      <c r="H47" s="12" t="s">
        <v>287</v>
      </c>
      <c r="I47" s="12" t="s">
        <v>288</v>
      </c>
    </row>
    <row r="48" customFormat="false" ht="23.85" hidden="false" customHeight="false" outlineLevel="0" collapsed="false">
      <c r="A48" s="12" t="s">
        <v>109</v>
      </c>
      <c r="B48" s="12" t="s">
        <v>281</v>
      </c>
      <c r="C48" s="12" t="s">
        <v>282</v>
      </c>
      <c r="D48" s="12" t="s">
        <v>338</v>
      </c>
      <c r="E48" s="12" t="s">
        <v>375</v>
      </c>
      <c r="F48" s="12" t="s">
        <v>376</v>
      </c>
      <c r="G48" s="12" t="s">
        <v>293</v>
      </c>
      <c r="H48" s="12" t="s">
        <v>287</v>
      </c>
      <c r="I48" s="12" t="s">
        <v>288</v>
      </c>
    </row>
    <row r="49" customFormat="false" ht="23.85" hidden="false" customHeight="false" outlineLevel="0" collapsed="false">
      <c r="A49" s="12" t="s">
        <v>109</v>
      </c>
      <c r="B49" s="12" t="s">
        <v>281</v>
      </c>
      <c r="C49" s="12" t="s">
        <v>282</v>
      </c>
      <c r="D49" s="12" t="s">
        <v>338</v>
      </c>
      <c r="E49" s="12" t="s">
        <v>377</v>
      </c>
      <c r="F49" s="12" t="s">
        <v>378</v>
      </c>
      <c r="G49" s="12" t="s">
        <v>293</v>
      </c>
      <c r="H49" s="12" t="s">
        <v>287</v>
      </c>
      <c r="I49" s="12" t="s">
        <v>288</v>
      </c>
    </row>
    <row r="50" customFormat="false" ht="23.85" hidden="false" customHeight="false" outlineLevel="0" collapsed="false">
      <c r="A50" s="12" t="s">
        <v>109</v>
      </c>
      <c r="B50" s="12" t="s">
        <v>281</v>
      </c>
      <c r="C50" s="12" t="s">
        <v>282</v>
      </c>
      <c r="D50" s="12" t="s">
        <v>338</v>
      </c>
      <c r="E50" s="12" t="s">
        <v>379</v>
      </c>
      <c r="F50" s="12" t="s">
        <v>380</v>
      </c>
      <c r="G50" s="12" t="s">
        <v>293</v>
      </c>
      <c r="H50" s="12" t="s">
        <v>287</v>
      </c>
      <c r="I50" s="12" t="s">
        <v>288</v>
      </c>
    </row>
    <row r="51" customFormat="false" ht="23.85" hidden="false" customHeight="false" outlineLevel="0" collapsed="false">
      <c r="A51" s="12" t="s">
        <v>109</v>
      </c>
      <c r="B51" s="12" t="s">
        <v>281</v>
      </c>
      <c r="C51" s="12" t="s">
        <v>282</v>
      </c>
      <c r="D51" s="12" t="s">
        <v>338</v>
      </c>
      <c r="E51" s="12" t="s">
        <v>381</v>
      </c>
      <c r="F51" s="12" t="s">
        <v>382</v>
      </c>
      <c r="G51" s="12" t="s">
        <v>293</v>
      </c>
      <c r="H51" s="12" t="s">
        <v>287</v>
      </c>
      <c r="I51" s="12" t="s">
        <v>288</v>
      </c>
    </row>
    <row r="52" customFormat="false" ht="23.85" hidden="false" customHeight="false" outlineLevel="0" collapsed="false">
      <c r="A52" s="12" t="s">
        <v>109</v>
      </c>
      <c r="B52" s="12" t="s">
        <v>281</v>
      </c>
      <c r="C52" s="12" t="s">
        <v>282</v>
      </c>
      <c r="D52" s="12" t="s">
        <v>338</v>
      </c>
      <c r="E52" s="12" t="s">
        <v>383</v>
      </c>
      <c r="F52" s="12" t="s">
        <v>384</v>
      </c>
      <c r="G52" s="12" t="s">
        <v>293</v>
      </c>
      <c r="H52" s="12" t="s">
        <v>287</v>
      </c>
      <c r="I52" s="12" t="s">
        <v>288</v>
      </c>
    </row>
    <row r="53" customFormat="false" ht="23.85" hidden="false" customHeight="false" outlineLevel="0" collapsed="false">
      <c r="A53" s="12" t="s">
        <v>109</v>
      </c>
      <c r="B53" s="12" t="s">
        <v>281</v>
      </c>
      <c r="C53" s="12" t="s">
        <v>282</v>
      </c>
      <c r="D53" s="12" t="s">
        <v>338</v>
      </c>
      <c r="E53" s="12" t="s">
        <v>385</v>
      </c>
      <c r="F53" s="12" t="s">
        <v>386</v>
      </c>
      <c r="G53" s="12" t="s">
        <v>293</v>
      </c>
      <c r="H53" s="12" t="s">
        <v>287</v>
      </c>
      <c r="I53" s="12" t="s">
        <v>288</v>
      </c>
    </row>
    <row r="54" customFormat="false" ht="23.85" hidden="false" customHeight="false" outlineLevel="0" collapsed="false">
      <c r="A54" s="12" t="s">
        <v>109</v>
      </c>
      <c r="B54" s="12" t="s">
        <v>281</v>
      </c>
      <c r="C54" s="12" t="s">
        <v>282</v>
      </c>
      <c r="D54" s="12" t="s">
        <v>338</v>
      </c>
      <c r="E54" s="12" t="s">
        <v>387</v>
      </c>
      <c r="F54" s="12" t="s">
        <v>388</v>
      </c>
      <c r="G54" s="12" t="s">
        <v>293</v>
      </c>
      <c r="H54" s="12" t="s">
        <v>287</v>
      </c>
      <c r="I54" s="12" t="s">
        <v>288</v>
      </c>
    </row>
    <row r="55" customFormat="false" ht="23.85" hidden="false" customHeight="false" outlineLevel="0" collapsed="false">
      <c r="A55" s="12" t="s">
        <v>109</v>
      </c>
      <c r="B55" s="12" t="s">
        <v>281</v>
      </c>
      <c r="C55" s="12" t="s">
        <v>282</v>
      </c>
      <c r="D55" s="12" t="s">
        <v>338</v>
      </c>
      <c r="E55" s="12" t="s">
        <v>389</v>
      </c>
      <c r="F55" s="12" t="s">
        <v>390</v>
      </c>
      <c r="G55" s="12" t="s">
        <v>293</v>
      </c>
      <c r="H55" s="12" t="s">
        <v>287</v>
      </c>
      <c r="I55" s="12" t="s">
        <v>288</v>
      </c>
    </row>
    <row r="56" customFormat="false" ht="23.85" hidden="false" customHeight="false" outlineLevel="0" collapsed="false">
      <c r="A56" s="12" t="s">
        <v>109</v>
      </c>
      <c r="B56" s="12" t="s">
        <v>281</v>
      </c>
      <c r="C56" s="12" t="s">
        <v>282</v>
      </c>
      <c r="D56" s="12" t="s">
        <v>338</v>
      </c>
      <c r="E56" s="12" t="s">
        <v>391</v>
      </c>
      <c r="F56" s="12" t="s">
        <v>392</v>
      </c>
      <c r="G56" s="12" t="s">
        <v>293</v>
      </c>
      <c r="H56" s="12" t="s">
        <v>287</v>
      </c>
      <c r="I56" s="12" t="s">
        <v>288</v>
      </c>
    </row>
    <row r="57" customFormat="false" ht="23.85" hidden="false" customHeight="false" outlineLevel="0" collapsed="false">
      <c r="A57" s="12" t="s">
        <v>109</v>
      </c>
      <c r="B57" s="12" t="s">
        <v>281</v>
      </c>
      <c r="C57" s="12" t="s">
        <v>282</v>
      </c>
      <c r="D57" s="12" t="s">
        <v>338</v>
      </c>
      <c r="E57" s="12" t="s">
        <v>393</v>
      </c>
      <c r="F57" s="12" t="s">
        <v>394</v>
      </c>
      <c r="G57" s="12" t="s">
        <v>293</v>
      </c>
      <c r="H57" s="12" t="s">
        <v>287</v>
      </c>
      <c r="I57" s="12" t="s">
        <v>288</v>
      </c>
    </row>
    <row r="58" customFormat="false" ht="23.85" hidden="false" customHeight="false" outlineLevel="0" collapsed="false">
      <c r="A58" s="12" t="s">
        <v>109</v>
      </c>
      <c r="B58" s="12" t="s">
        <v>281</v>
      </c>
      <c r="C58" s="12" t="s">
        <v>282</v>
      </c>
      <c r="D58" s="12" t="s">
        <v>338</v>
      </c>
      <c r="E58" s="12" t="s">
        <v>395</v>
      </c>
      <c r="F58" s="12" t="s">
        <v>396</v>
      </c>
      <c r="G58" s="12" t="s">
        <v>293</v>
      </c>
      <c r="H58" s="12" t="s">
        <v>287</v>
      </c>
      <c r="I58" s="12" t="s">
        <v>288</v>
      </c>
    </row>
    <row r="59" customFormat="false" ht="23.85" hidden="false" customHeight="false" outlineLevel="0" collapsed="false">
      <c r="A59" s="12" t="s">
        <v>109</v>
      </c>
      <c r="B59" s="12" t="s">
        <v>281</v>
      </c>
      <c r="C59" s="12" t="s">
        <v>282</v>
      </c>
      <c r="D59" s="12" t="s">
        <v>338</v>
      </c>
      <c r="E59" s="12" t="s">
        <v>397</v>
      </c>
      <c r="F59" s="12" t="s">
        <v>398</v>
      </c>
      <c r="G59" s="12" t="s">
        <v>293</v>
      </c>
      <c r="H59" s="12" t="s">
        <v>287</v>
      </c>
      <c r="I59" s="12" t="s">
        <v>288</v>
      </c>
    </row>
    <row r="60" customFormat="false" ht="23.85" hidden="false" customHeight="false" outlineLevel="0" collapsed="false">
      <c r="A60" s="12" t="s">
        <v>109</v>
      </c>
      <c r="B60" s="12" t="s">
        <v>281</v>
      </c>
      <c r="C60" s="12" t="s">
        <v>282</v>
      </c>
      <c r="D60" s="12" t="s">
        <v>338</v>
      </c>
      <c r="E60" s="12" t="s">
        <v>399</v>
      </c>
      <c r="F60" s="12" t="s">
        <v>337</v>
      </c>
      <c r="G60" s="12" t="s">
        <v>293</v>
      </c>
      <c r="H60" s="12" t="s">
        <v>287</v>
      </c>
      <c r="I60" s="12" t="s">
        <v>288</v>
      </c>
    </row>
    <row r="61" customFormat="false" ht="23.85" hidden="false" customHeight="false" outlineLevel="0" collapsed="false">
      <c r="A61" s="12" t="s">
        <v>109</v>
      </c>
      <c r="B61" s="12" t="s">
        <v>400</v>
      </c>
      <c r="C61" s="12" t="s">
        <v>282</v>
      </c>
      <c r="D61" s="12" t="s">
        <v>283</v>
      </c>
      <c r="E61" s="12" t="s">
        <v>401</v>
      </c>
      <c r="F61" s="12" t="s">
        <v>402</v>
      </c>
      <c r="G61" s="12" t="s">
        <v>286</v>
      </c>
      <c r="H61" s="12" t="s">
        <v>287</v>
      </c>
      <c r="I61" s="12" t="s">
        <v>288</v>
      </c>
    </row>
    <row r="62" customFormat="false" ht="23.85" hidden="false" customHeight="false" outlineLevel="0" collapsed="false">
      <c r="A62" s="12" t="s">
        <v>109</v>
      </c>
      <c r="B62" s="12" t="s">
        <v>400</v>
      </c>
      <c r="C62" s="12" t="s">
        <v>282</v>
      </c>
      <c r="D62" s="12" t="s">
        <v>283</v>
      </c>
      <c r="E62" s="12" t="s">
        <v>403</v>
      </c>
      <c r="F62" s="12" t="s">
        <v>404</v>
      </c>
      <c r="G62" s="12" t="s">
        <v>293</v>
      </c>
      <c r="H62" s="12" t="s">
        <v>287</v>
      </c>
      <c r="I62" s="12" t="s">
        <v>288</v>
      </c>
    </row>
    <row r="63" customFormat="false" ht="23.85" hidden="false" customHeight="false" outlineLevel="0" collapsed="false">
      <c r="A63" s="12" t="s">
        <v>109</v>
      </c>
      <c r="B63" s="12" t="s">
        <v>400</v>
      </c>
      <c r="C63" s="12" t="s">
        <v>282</v>
      </c>
      <c r="D63" s="12" t="s">
        <v>283</v>
      </c>
      <c r="E63" s="12" t="s">
        <v>405</v>
      </c>
      <c r="F63" s="12" t="s">
        <v>406</v>
      </c>
      <c r="G63" s="12" t="s">
        <v>293</v>
      </c>
      <c r="H63" s="12" t="s">
        <v>287</v>
      </c>
      <c r="I63" s="12" t="s">
        <v>288</v>
      </c>
    </row>
    <row r="64" customFormat="false" ht="23.85" hidden="false" customHeight="false" outlineLevel="0" collapsed="false">
      <c r="A64" s="12" t="s">
        <v>109</v>
      </c>
      <c r="B64" s="12" t="s">
        <v>400</v>
      </c>
      <c r="C64" s="12" t="s">
        <v>282</v>
      </c>
      <c r="D64" s="12" t="s">
        <v>283</v>
      </c>
      <c r="E64" s="12" t="s">
        <v>407</v>
      </c>
      <c r="F64" s="12" t="s">
        <v>408</v>
      </c>
      <c r="G64" s="12" t="s">
        <v>293</v>
      </c>
      <c r="H64" s="12" t="s">
        <v>287</v>
      </c>
      <c r="I64" s="12" t="s">
        <v>288</v>
      </c>
    </row>
    <row r="65" customFormat="false" ht="23.85" hidden="false" customHeight="false" outlineLevel="0" collapsed="false">
      <c r="A65" s="12" t="s">
        <v>109</v>
      </c>
      <c r="B65" s="12" t="s">
        <v>400</v>
      </c>
      <c r="C65" s="12" t="s">
        <v>282</v>
      </c>
      <c r="D65" s="12" t="s">
        <v>283</v>
      </c>
      <c r="E65" s="12" t="s">
        <v>409</v>
      </c>
      <c r="F65" s="12" t="s">
        <v>410</v>
      </c>
      <c r="G65" s="12" t="s">
        <v>293</v>
      </c>
      <c r="H65" s="12" t="s">
        <v>287</v>
      </c>
      <c r="I65" s="12" t="s">
        <v>288</v>
      </c>
    </row>
    <row r="66" customFormat="false" ht="23.85" hidden="false" customHeight="false" outlineLevel="0" collapsed="false">
      <c r="A66" s="12" t="s">
        <v>109</v>
      </c>
      <c r="B66" s="12" t="s">
        <v>400</v>
      </c>
      <c r="C66" s="12" t="s">
        <v>282</v>
      </c>
      <c r="D66" s="12" t="s">
        <v>283</v>
      </c>
      <c r="E66" s="12" t="s">
        <v>411</v>
      </c>
      <c r="F66" s="12" t="s">
        <v>412</v>
      </c>
      <c r="G66" s="12" t="s">
        <v>293</v>
      </c>
      <c r="H66" s="12" t="s">
        <v>287</v>
      </c>
      <c r="I66" s="12" t="s">
        <v>288</v>
      </c>
    </row>
    <row r="67" customFormat="false" ht="23.85" hidden="false" customHeight="false" outlineLevel="0" collapsed="false">
      <c r="A67" s="12" t="s">
        <v>109</v>
      </c>
      <c r="B67" s="12" t="s">
        <v>400</v>
      </c>
      <c r="C67" s="12" t="s">
        <v>282</v>
      </c>
      <c r="D67" s="12" t="s">
        <v>283</v>
      </c>
      <c r="E67" s="12" t="s">
        <v>413</v>
      </c>
      <c r="F67" s="12" t="s">
        <v>414</v>
      </c>
      <c r="G67" s="12" t="s">
        <v>293</v>
      </c>
      <c r="H67" s="12" t="s">
        <v>287</v>
      </c>
      <c r="I67" s="12" t="s">
        <v>288</v>
      </c>
    </row>
    <row r="68" customFormat="false" ht="23.85" hidden="false" customHeight="false" outlineLevel="0" collapsed="false">
      <c r="A68" s="12" t="s">
        <v>109</v>
      </c>
      <c r="B68" s="12" t="s">
        <v>400</v>
      </c>
      <c r="C68" s="12" t="s">
        <v>282</v>
      </c>
      <c r="D68" s="12" t="s">
        <v>283</v>
      </c>
      <c r="E68" s="12" t="s">
        <v>415</v>
      </c>
      <c r="F68" s="12" t="s">
        <v>416</v>
      </c>
      <c r="G68" s="12" t="s">
        <v>293</v>
      </c>
      <c r="H68" s="12" t="s">
        <v>287</v>
      </c>
      <c r="I68" s="12" t="s">
        <v>288</v>
      </c>
    </row>
    <row r="69" customFormat="false" ht="23.85" hidden="false" customHeight="false" outlineLevel="0" collapsed="false">
      <c r="A69" s="12" t="s">
        <v>109</v>
      </c>
      <c r="B69" s="12" t="s">
        <v>400</v>
      </c>
      <c r="C69" s="12" t="s">
        <v>282</v>
      </c>
      <c r="D69" s="12" t="s">
        <v>283</v>
      </c>
      <c r="E69" s="12" t="s">
        <v>417</v>
      </c>
      <c r="F69" s="12" t="s">
        <v>418</v>
      </c>
      <c r="G69" s="12" t="s">
        <v>286</v>
      </c>
      <c r="H69" s="12" t="s">
        <v>287</v>
      </c>
      <c r="I69" s="12" t="s">
        <v>288</v>
      </c>
    </row>
    <row r="70" customFormat="false" ht="23.85" hidden="false" customHeight="false" outlineLevel="0" collapsed="false">
      <c r="A70" s="12" t="s">
        <v>109</v>
      </c>
      <c r="B70" s="12" t="s">
        <v>400</v>
      </c>
      <c r="C70" s="12" t="s">
        <v>282</v>
      </c>
      <c r="D70" s="12" t="s">
        <v>283</v>
      </c>
      <c r="E70" s="12" t="s">
        <v>419</v>
      </c>
      <c r="F70" s="12" t="s">
        <v>420</v>
      </c>
      <c r="G70" s="12" t="s">
        <v>286</v>
      </c>
      <c r="H70" s="12" t="s">
        <v>287</v>
      </c>
      <c r="I70" s="12" t="s">
        <v>288</v>
      </c>
    </row>
    <row r="71" customFormat="false" ht="23.85" hidden="false" customHeight="false" outlineLevel="0" collapsed="false">
      <c r="A71" s="12" t="s">
        <v>109</v>
      </c>
      <c r="B71" s="12" t="s">
        <v>400</v>
      </c>
      <c r="C71" s="12" t="s">
        <v>282</v>
      </c>
      <c r="D71" s="12" t="s">
        <v>283</v>
      </c>
      <c r="E71" s="12" t="s">
        <v>421</v>
      </c>
      <c r="F71" s="12" t="s">
        <v>422</v>
      </c>
      <c r="G71" s="12" t="s">
        <v>293</v>
      </c>
      <c r="H71" s="12" t="s">
        <v>287</v>
      </c>
      <c r="I71" s="12" t="s">
        <v>288</v>
      </c>
    </row>
    <row r="72" customFormat="false" ht="23.85" hidden="false" customHeight="false" outlineLevel="0" collapsed="false">
      <c r="A72" s="12" t="s">
        <v>109</v>
      </c>
      <c r="B72" s="12" t="s">
        <v>400</v>
      </c>
      <c r="C72" s="12" t="s">
        <v>282</v>
      </c>
      <c r="D72" s="12" t="s">
        <v>283</v>
      </c>
      <c r="E72" s="12" t="s">
        <v>423</v>
      </c>
      <c r="F72" s="12" t="s">
        <v>424</v>
      </c>
      <c r="G72" s="12" t="s">
        <v>293</v>
      </c>
      <c r="H72" s="12" t="s">
        <v>287</v>
      </c>
      <c r="I72" s="12" t="s">
        <v>288</v>
      </c>
    </row>
    <row r="73" customFormat="false" ht="23.85" hidden="false" customHeight="false" outlineLevel="0" collapsed="false">
      <c r="A73" s="12" t="s">
        <v>109</v>
      </c>
      <c r="B73" s="12" t="s">
        <v>400</v>
      </c>
      <c r="C73" s="12" t="s">
        <v>282</v>
      </c>
      <c r="D73" s="12" t="s">
        <v>283</v>
      </c>
      <c r="E73" s="12" t="s">
        <v>425</v>
      </c>
      <c r="F73" s="12" t="s">
        <v>426</v>
      </c>
      <c r="G73" s="12" t="s">
        <v>293</v>
      </c>
      <c r="H73" s="12" t="s">
        <v>287</v>
      </c>
      <c r="I73" s="12" t="s">
        <v>288</v>
      </c>
    </row>
    <row r="74" customFormat="false" ht="23.85" hidden="false" customHeight="false" outlineLevel="0" collapsed="false">
      <c r="A74" s="12" t="s">
        <v>109</v>
      </c>
      <c r="B74" s="12" t="s">
        <v>400</v>
      </c>
      <c r="C74" s="12" t="s">
        <v>282</v>
      </c>
      <c r="D74" s="12" t="s">
        <v>283</v>
      </c>
      <c r="E74" s="12" t="s">
        <v>427</v>
      </c>
      <c r="F74" s="12" t="s">
        <v>428</v>
      </c>
      <c r="G74" s="12" t="s">
        <v>286</v>
      </c>
      <c r="H74" s="12" t="s">
        <v>287</v>
      </c>
      <c r="I74" s="12" t="s">
        <v>288</v>
      </c>
    </row>
    <row r="75" customFormat="false" ht="23.85" hidden="false" customHeight="false" outlineLevel="0" collapsed="false">
      <c r="A75" s="12" t="s">
        <v>109</v>
      </c>
      <c r="B75" s="12" t="s">
        <v>400</v>
      </c>
      <c r="C75" s="12" t="s">
        <v>282</v>
      </c>
      <c r="D75" s="12" t="s">
        <v>283</v>
      </c>
      <c r="E75" s="12" t="s">
        <v>429</v>
      </c>
      <c r="F75" s="12" t="s">
        <v>430</v>
      </c>
      <c r="G75" s="12" t="s">
        <v>293</v>
      </c>
      <c r="H75" s="12" t="s">
        <v>287</v>
      </c>
      <c r="I75" s="12" t="s">
        <v>288</v>
      </c>
    </row>
    <row r="76" customFormat="false" ht="23.85" hidden="false" customHeight="false" outlineLevel="0" collapsed="false">
      <c r="A76" s="12" t="s">
        <v>109</v>
      </c>
      <c r="B76" s="12" t="s">
        <v>400</v>
      </c>
      <c r="C76" s="12" t="s">
        <v>282</v>
      </c>
      <c r="D76" s="12" t="s">
        <v>283</v>
      </c>
      <c r="E76" s="12" t="s">
        <v>431</v>
      </c>
      <c r="F76" s="12" t="s">
        <v>432</v>
      </c>
      <c r="G76" s="12" t="s">
        <v>293</v>
      </c>
      <c r="H76" s="12" t="s">
        <v>287</v>
      </c>
      <c r="I76" s="12" t="s">
        <v>288</v>
      </c>
    </row>
    <row r="77" customFormat="false" ht="23.85" hidden="false" customHeight="false" outlineLevel="0" collapsed="false">
      <c r="A77" s="12" t="s">
        <v>109</v>
      </c>
      <c r="B77" s="12" t="s">
        <v>400</v>
      </c>
      <c r="C77" s="12" t="s">
        <v>282</v>
      </c>
      <c r="D77" s="12" t="s">
        <v>283</v>
      </c>
      <c r="E77" s="12" t="s">
        <v>433</v>
      </c>
      <c r="F77" s="12" t="s">
        <v>434</v>
      </c>
      <c r="G77" s="12" t="s">
        <v>293</v>
      </c>
      <c r="H77" s="12" t="s">
        <v>287</v>
      </c>
      <c r="I77" s="12" t="s">
        <v>288</v>
      </c>
    </row>
    <row r="78" customFormat="false" ht="23.85" hidden="false" customHeight="false" outlineLevel="0" collapsed="false">
      <c r="A78" s="12" t="s">
        <v>109</v>
      </c>
      <c r="B78" s="12" t="s">
        <v>400</v>
      </c>
      <c r="C78" s="12" t="s">
        <v>282</v>
      </c>
      <c r="D78" s="12" t="s">
        <v>283</v>
      </c>
      <c r="E78" s="12" t="s">
        <v>435</v>
      </c>
      <c r="F78" s="12" t="s">
        <v>436</v>
      </c>
      <c r="G78" s="12" t="s">
        <v>293</v>
      </c>
      <c r="H78" s="12" t="s">
        <v>287</v>
      </c>
      <c r="I78" s="12" t="s">
        <v>288</v>
      </c>
    </row>
    <row r="79" customFormat="false" ht="23.85" hidden="false" customHeight="false" outlineLevel="0" collapsed="false">
      <c r="A79" s="12" t="s">
        <v>109</v>
      </c>
      <c r="B79" s="12" t="s">
        <v>400</v>
      </c>
      <c r="C79" s="12" t="s">
        <v>282</v>
      </c>
      <c r="D79" s="12" t="s">
        <v>283</v>
      </c>
      <c r="E79" s="12" t="s">
        <v>437</v>
      </c>
      <c r="F79" s="12" t="s">
        <v>438</v>
      </c>
      <c r="G79" s="12" t="s">
        <v>286</v>
      </c>
      <c r="H79" s="12" t="s">
        <v>287</v>
      </c>
      <c r="I79" s="12" t="s">
        <v>288</v>
      </c>
    </row>
    <row r="80" customFormat="false" ht="23.85" hidden="false" customHeight="false" outlineLevel="0" collapsed="false">
      <c r="A80" s="12" t="s">
        <v>109</v>
      </c>
      <c r="B80" s="12" t="s">
        <v>400</v>
      </c>
      <c r="C80" s="12" t="s">
        <v>282</v>
      </c>
      <c r="D80" s="12" t="s">
        <v>283</v>
      </c>
      <c r="E80" s="12" t="s">
        <v>439</v>
      </c>
      <c r="F80" s="12" t="s">
        <v>440</v>
      </c>
      <c r="G80" s="12" t="s">
        <v>293</v>
      </c>
      <c r="H80" s="12" t="s">
        <v>287</v>
      </c>
      <c r="I80" s="12" t="s">
        <v>288</v>
      </c>
    </row>
    <row r="81" customFormat="false" ht="23.85" hidden="false" customHeight="false" outlineLevel="0" collapsed="false">
      <c r="A81" s="12" t="s">
        <v>109</v>
      </c>
      <c r="B81" s="12" t="s">
        <v>400</v>
      </c>
      <c r="C81" s="12" t="s">
        <v>282</v>
      </c>
      <c r="D81" s="12" t="s">
        <v>283</v>
      </c>
      <c r="E81" s="12" t="s">
        <v>441</v>
      </c>
      <c r="F81" s="12" t="s">
        <v>442</v>
      </c>
      <c r="G81" s="12" t="s">
        <v>293</v>
      </c>
      <c r="H81" s="12" t="s">
        <v>287</v>
      </c>
      <c r="I81" s="12" t="s">
        <v>288</v>
      </c>
    </row>
    <row r="82" customFormat="false" ht="23.85" hidden="false" customHeight="false" outlineLevel="0" collapsed="false">
      <c r="A82" s="12" t="s">
        <v>109</v>
      </c>
      <c r="B82" s="12" t="s">
        <v>400</v>
      </c>
      <c r="C82" s="12" t="s">
        <v>282</v>
      </c>
      <c r="D82" s="12" t="s">
        <v>283</v>
      </c>
      <c r="E82" s="12" t="s">
        <v>443</v>
      </c>
      <c r="F82" s="12" t="s">
        <v>444</v>
      </c>
      <c r="G82" s="12" t="s">
        <v>293</v>
      </c>
      <c r="H82" s="12" t="s">
        <v>287</v>
      </c>
      <c r="I82" s="12" t="s">
        <v>288</v>
      </c>
    </row>
    <row r="83" customFormat="false" ht="23.85" hidden="false" customHeight="false" outlineLevel="0" collapsed="false">
      <c r="A83" s="12" t="s">
        <v>109</v>
      </c>
      <c r="B83" s="12" t="s">
        <v>400</v>
      </c>
      <c r="C83" s="12" t="s">
        <v>282</v>
      </c>
      <c r="D83" s="12" t="s">
        <v>283</v>
      </c>
      <c r="E83" s="12" t="s">
        <v>445</v>
      </c>
      <c r="F83" s="12" t="s">
        <v>446</v>
      </c>
      <c r="G83" s="12" t="s">
        <v>293</v>
      </c>
      <c r="H83" s="12" t="s">
        <v>287</v>
      </c>
      <c r="I83" s="12" t="s">
        <v>288</v>
      </c>
    </row>
    <row r="84" customFormat="false" ht="23.85" hidden="false" customHeight="false" outlineLevel="0" collapsed="false">
      <c r="A84" s="12" t="s">
        <v>109</v>
      </c>
      <c r="B84" s="12" t="s">
        <v>400</v>
      </c>
      <c r="C84" s="12" t="s">
        <v>282</v>
      </c>
      <c r="D84" s="12" t="s">
        <v>283</v>
      </c>
      <c r="E84" s="12" t="s">
        <v>447</v>
      </c>
      <c r="F84" s="12" t="s">
        <v>448</v>
      </c>
      <c r="G84" s="12" t="s">
        <v>286</v>
      </c>
      <c r="H84" s="12" t="s">
        <v>287</v>
      </c>
      <c r="I84" s="12" t="s">
        <v>288</v>
      </c>
    </row>
    <row r="85" customFormat="false" ht="23.85" hidden="false" customHeight="false" outlineLevel="0" collapsed="false">
      <c r="A85" s="12" t="s">
        <v>109</v>
      </c>
      <c r="B85" s="12" t="s">
        <v>400</v>
      </c>
      <c r="C85" s="12" t="s">
        <v>282</v>
      </c>
      <c r="D85" s="12" t="s">
        <v>283</v>
      </c>
      <c r="E85" s="12" t="s">
        <v>449</v>
      </c>
      <c r="F85" s="12" t="s">
        <v>450</v>
      </c>
      <c r="G85" s="12" t="s">
        <v>293</v>
      </c>
      <c r="H85" s="12" t="s">
        <v>287</v>
      </c>
      <c r="I85" s="12" t="s">
        <v>288</v>
      </c>
    </row>
    <row r="86" customFormat="false" ht="23.85" hidden="false" customHeight="false" outlineLevel="0" collapsed="false">
      <c r="A86" s="12" t="s">
        <v>109</v>
      </c>
      <c r="B86" s="12" t="s">
        <v>400</v>
      </c>
      <c r="C86" s="12" t="s">
        <v>282</v>
      </c>
      <c r="D86" s="12" t="s">
        <v>283</v>
      </c>
      <c r="E86" s="12" t="s">
        <v>451</v>
      </c>
      <c r="F86" s="12" t="s">
        <v>452</v>
      </c>
      <c r="G86" s="12" t="s">
        <v>293</v>
      </c>
      <c r="H86" s="12" t="s">
        <v>287</v>
      </c>
      <c r="I86" s="12" t="s">
        <v>288</v>
      </c>
    </row>
    <row r="87" customFormat="false" ht="23.85" hidden="false" customHeight="false" outlineLevel="0" collapsed="false">
      <c r="A87" s="12" t="s">
        <v>109</v>
      </c>
      <c r="B87" s="12" t="s">
        <v>400</v>
      </c>
      <c r="C87" s="12" t="s">
        <v>282</v>
      </c>
      <c r="D87" s="12" t="s">
        <v>283</v>
      </c>
      <c r="E87" s="12" t="s">
        <v>453</v>
      </c>
      <c r="F87" s="12" t="s">
        <v>454</v>
      </c>
      <c r="G87" s="12" t="s">
        <v>293</v>
      </c>
      <c r="H87" s="12" t="s">
        <v>287</v>
      </c>
      <c r="I87" s="12" t="s">
        <v>288</v>
      </c>
    </row>
    <row r="88" customFormat="false" ht="23.85" hidden="false" customHeight="false" outlineLevel="0" collapsed="false">
      <c r="A88" s="12" t="s">
        <v>109</v>
      </c>
      <c r="B88" s="12" t="s">
        <v>400</v>
      </c>
      <c r="C88" s="12" t="s">
        <v>282</v>
      </c>
      <c r="D88" s="12" t="s">
        <v>283</v>
      </c>
      <c r="E88" s="12" t="s">
        <v>455</v>
      </c>
      <c r="F88" s="12" t="s">
        <v>456</v>
      </c>
      <c r="G88" s="12" t="s">
        <v>293</v>
      </c>
      <c r="H88" s="12" t="s">
        <v>287</v>
      </c>
      <c r="I88" s="12" t="s">
        <v>288</v>
      </c>
    </row>
    <row r="89" customFormat="false" ht="23.85" hidden="false" customHeight="false" outlineLevel="0" collapsed="false">
      <c r="A89" s="12" t="s">
        <v>109</v>
      </c>
      <c r="B89" s="12" t="s">
        <v>400</v>
      </c>
      <c r="C89" s="12" t="s">
        <v>282</v>
      </c>
      <c r="D89" s="12" t="s">
        <v>283</v>
      </c>
      <c r="E89" s="12" t="s">
        <v>457</v>
      </c>
      <c r="F89" s="12" t="s">
        <v>458</v>
      </c>
      <c r="G89" s="12" t="s">
        <v>293</v>
      </c>
      <c r="H89" s="12" t="s">
        <v>287</v>
      </c>
      <c r="I89" s="12" t="s">
        <v>288</v>
      </c>
    </row>
    <row r="90" customFormat="false" ht="23.85" hidden="false" customHeight="false" outlineLevel="0" collapsed="false">
      <c r="A90" s="12" t="s">
        <v>109</v>
      </c>
      <c r="B90" s="12" t="s">
        <v>400</v>
      </c>
      <c r="C90" s="12" t="s">
        <v>282</v>
      </c>
      <c r="D90" s="12" t="s">
        <v>283</v>
      </c>
      <c r="E90" s="12" t="s">
        <v>459</v>
      </c>
      <c r="F90" s="12" t="s">
        <v>460</v>
      </c>
      <c r="G90" s="12" t="s">
        <v>293</v>
      </c>
      <c r="H90" s="12" t="s">
        <v>287</v>
      </c>
      <c r="I90" s="12" t="s">
        <v>288</v>
      </c>
    </row>
    <row r="91" customFormat="false" ht="23.85" hidden="false" customHeight="false" outlineLevel="0" collapsed="false">
      <c r="A91" s="12" t="s">
        <v>109</v>
      </c>
      <c r="B91" s="12" t="s">
        <v>400</v>
      </c>
      <c r="C91" s="12" t="s">
        <v>282</v>
      </c>
      <c r="D91" s="12" t="s">
        <v>283</v>
      </c>
      <c r="E91" s="12" t="s">
        <v>461</v>
      </c>
      <c r="F91" s="12" t="s">
        <v>462</v>
      </c>
      <c r="G91" s="12" t="s">
        <v>293</v>
      </c>
      <c r="H91" s="12" t="s">
        <v>287</v>
      </c>
      <c r="I91" s="12" t="s">
        <v>288</v>
      </c>
    </row>
    <row r="92" customFormat="false" ht="23.85" hidden="false" customHeight="false" outlineLevel="0" collapsed="false">
      <c r="A92" s="12" t="s">
        <v>109</v>
      </c>
      <c r="B92" s="12" t="s">
        <v>400</v>
      </c>
      <c r="C92" s="12" t="s">
        <v>282</v>
      </c>
      <c r="D92" s="12" t="s">
        <v>283</v>
      </c>
      <c r="E92" s="12" t="s">
        <v>463</v>
      </c>
      <c r="F92" s="12" t="s">
        <v>464</v>
      </c>
      <c r="G92" s="12" t="s">
        <v>286</v>
      </c>
      <c r="H92" s="12" t="s">
        <v>287</v>
      </c>
      <c r="I92" s="12" t="s">
        <v>288</v>
      </c>
    </row>
    <row r="93" customFormat="false" ht="23.85" hidden="false" customHeight="false" outlineLevel="0" collapsed="false">
      <c r="A93" s="12" t="s">
        <v>109</v>
      </c>
      <c r="B93" s="12" t="s">
        <v>400</v>
      </c>
      <c r="C93" s="12" t="s">
        <v>282</v>
      </c>
      <c r="D93" s="12" t="s">
        <v>283</v>
      </c>
      <c r="E93" s="12" t="s">
        <v>465</v>
      </c>
      <c r="F93" s="12" t="s">
        <v>466</v>
      </c>
      <c r="G93" s="12" t="s">
        <v>293</v>
      </c>
      <c r="H93" s="12" t="s">
        <v>287</v>
      </c>
      <c r="I93" s="12" t="s">
        <v>288</v>
      </c>
    </row>
    <row r="94" customFormat="false" ht="23.85" hidden="false" customHeight="false" outlineLevel="0" collapsed="false">
      <c r="A94" s="12" t="s">
        <v>109</v>
      </c>
      <c r="B94" s="12" t="s">
        <v>400</v>
      </c>
      <c r="C94" s="12" t="s">
        <v>282</v>
      </c>
      <c r="D94" s="12" t="s">
        <v>283</v>
      </c>
      <c r="E94" s="12" t="s">
        <v>467</v>
      </c>
      <c r="F94" s="12" t="s">
        <v>468</v>
      </c>
      <c r="G94" s="12" t="s">
        <v>293</v>
      </c>
      <c r="H94" s="12" t="s">
        <v>287</v>
      </c>
      <c r="I94" s="12" t="s">
        <v>288</v>
      </c>
    </row>
    <row r="95" customFormat="false" ht="23.85" hidden="false" customHeight="false" outlineLevel="0" collapsed="false">
      <c r="A95" s="12" t="s">
        <v>109</v>
      </c>
      <c r="B95" s="12" t="s">
        <v>400</v>
      </c>
      <c r="C95" s="12" t="s">
        <v>282</v>
      </c>
      <c r="D95" s="12" t="s">
        <v>283</v>
      </c>
      <c r="E95" s="12" t="s">
        <v>469</v>
      </c>
      <c r="F95" s="12" t="s">
        <v>470</v>
      </c>
      <c r="G95" s="12" t="s">
        <v>293</v>
      </c>
      <c r="H95" s="12" t="s">
        <v>287</v>
      </c>
      <c r="I95" s="12" t="s">
        <v>288</v>
      </c>
    </row>
    <row r="96" customFormat="false" ht="23.85" hidden="false" customHeight="false" outlineLevel="0" collapsed="false">
      <c r="A96" s="12" t="s">
        <v>109</v>
      </c>
      <c r="B96" s="12" t="s">
        <v>400</v>
      </c>
      <c r="C96" s="12" t="s">
        <v>282</v>
      </c>
      <c r="D96" s="12" t="s">
        <v>283</v>
      </c>
      <c r="E96" s="12" t="s">
        <v>471</v>
      </c>
      <c r="F96" s="12" t="s">
        <v>472</v>
      </c>
      <c r="G96" s="12" t="s">
        <v>293</v>
      </c>
      <c r="H96" s="12" t="s">
        <v>287</v>
      </c>
      <c r="I96" s="12" t="s">
        <v>288</v>
      </c>
    </row>
    <row r="97" customFormat="false" ht="23.85" hidden="false" customHeight="false" outlineLevel="0" collapsed="false">
      <c r="A97" s="12" t="s">
        <v>109</v>
      </c>
      <c r="B97" s="12" t="s">
        <v>400</v>
      </c>
      <c r="C97" s="12" t="s">
        <v>282</v>
      </c>
      <c r="D97" s="12" t="s">
        <v>283</v>
      </c>
      <c r="E97" s="12" t="s">
        <v>473</v>
      </c>
      <c r="F97" s="12" t="s">
        <v>474</v>
      </c>
      <c r="G97" s="12" t="s">
        <v>293</v>
      </c>
      <c r="H97" s="12" t="s">
        <v>287</v>
      </c>
      <c r="I97" s="12" t="s">
        <v>288</v>
      </c>
    </row>
    <row r="98" customFormat="false" ht="23.85" hidden="false" customHeight="false" outlineLevel="0" collapsed="false">
      <c r="A98" s="12" t="s">
        <v>109</v>
      </c>
      <c r="B98" s="12" t="s">
        <v>400</v>
      </c>
      <c r="C98" s="12" t="s">
        <v>282</v>
      </c>
      <c r="D98" s="12" t="s">
        <v>283</v>
      </c>
      <c r="E98" s="12" t="s">
        <v>475</v>
      </c>
      <c r="F98" s="12" t="s">
        <v>476</v>
      </c>
      <c r="G98" s="12" t="s">
        <v>293</v>
      </c>
      <c r="H98" s="12" t="s">
        <v>287</v>
      </c>
      <c r="I98" s="12" t="s">
        <v>288</v>
      </c>
    </row>
    <row r="99" customFormat="false" ht="23.85" hidden="false" customHeight="false" outlineLevel="0" collapsed="false">
      <c r="A99" s="12" t="s">
        <v>109</v>
      </c>
      <c r="B99" s="12" t="s">
        <v>400</v>
      </c>
      <c r="C99" s="12" t="s">
        <v>282</v>
      </c>
      <c r="D99" s="12" t="s">
        <v>283</v>
      </c>
      <c r="E99" s="12" t="s">
        <v>477</v>
      </c>
      <c r="F99" s="12" t="s">
        <v>478</v>
      </c>
      <c r="G99" s="12" t="s">
        <v>293</v>
      </c>
      <c r="H99" s="12" t="s">
        <v>287</v>
      </c>
      <c r="I99" s="12" t="s">
        <v>288</v>
      </c>
    </row>
    <row r="100" customFormat="false" ht="23.85" hidden="false" customHeight="false" outlineLevel="0" collapsed="false">
      <c r="A100" s="12" t="s">
        <v>109</v>
      </c>
      <c r="B100" s="12" t="s">
        <v>400</v>
      </c>
      <c r="C100" s="12" t="s">
        <v>282</v>
      </c>
      <c r="D100" s="12" t="s">
        <v>283</v>
      </c>
      <c r="E100" s="12" t="s">
        <v>479</v>
      </c>
      <c r="F100" s="12" t="s">
        <v>480</v>
      </c>
      <c r="G100" s="12" t="s">
        <v>293</v>
      </c>
      <c r="H100" s="12" t="s">
        <v>287</v>
      </c>
      <c r="I100" s="12" t="s">
        <v>288</v>
      </c>
    </row>
    <row r="101" customFormat="false" ht="23.85" hidden="false" customHeight="false" outlineLevel="0" collapsed="false">
      <c r="A101" s="12" t="s">
        <v>109</v>
      </c>
      <c r="B101" s="12" t="s">
        <v>400</v>
      </c>
      <c r="C101" s="12" t="s">
        <v>282</v>
      </c>
      <c r="D101" s="12" t="s">
        <v>283</v>
      </c>
      <c r="E101" s="12" t="s">
        <v>481</v>
      </c>
      <c r="F101" s="12" t="s">
        <v>482</v>
      </c>
      <c r="G101" s="12" t="s">
        <v>293</v>
      </c>
      <c r="H101" s="12" t="s">
        <v>287</v>
      </c>
      <c r="I101" s="12" t="s">
        <v>288</v>
      </c>
    </row>
    <row r="102" customFormat="false" ht="23.85" hidden="false" customHeight="false" outlineLevel="0" collapsed="false">
      <c r="A102" s="12" t="s">
        <v>109</v>
      </c>
      <c r="B102" s="12" t="s">
        <v>400</v>
      </c>
      <c r="C102" s="12" t="s">
        <v>282</v>
      </c>
      <c r="D102" s="12" t="s">
        <v>283</v>
      </c>
      <c r="E102" s="12" t="s">
        <v>483</v>
      </c>
      <c r="F102" s="12" t="s">
        <v>484</v>
      </c>
      <c r="G102" s="12" t="s">
        <v>286</v>
      </c>
      <c r="H102" s="12" t="s">
        <v>287</v>
      </c>
      <c r="I102" s="12" t="s">
        <v>288</v>
      </c>
    </row>
    <row r="103" customFormat="false" ht="23.85" hidden="false" customHeight="false" outlineLevel="0" collapsed="false">
      <c r="A103" s="12" t="s">
        <v>109</v>
      </c>
      <c r="B103" s="12" t="s">
        <v>400</v>
      </c>
      <c r="C103" s="12" t="s">
        <v>282</v>
      </c>
      <c r="D103" s="12" t="s">
        <v>283</v>
      </c>
      <c r="E103" s="12" t="s">
        <v>485</v>
      </c>
      <c r="F103" s="12" t="s">
        <v>486</v>
      </c>
      <c r="G103" s="12" t="s">
        <v>286</v>
      </c>
      <c r="H103" s="12" t="s">
        <v>287</v>
      </c>
      <c r="I103" s="12" t="s">
        <v>288</v>
      </c>
    </row>
    <row r="104" customFormat="false" ht="23.85" hidden="false" customHeight="false" outlineLevel="0" collapsed="false">
      <c r="A104" s="12" t="s">
        <v>109</v>
      </c>
      <c r="B104" s="12" t="s">
        <v>400</v>
      </c>
      <c r="C104" s="12" t="s">
        <v>282</v>
      </c>
      <c r="D104" s="12" t="s">
        <v>283</v>
      </c>
      <c r="E104" s="12" t="s">
        <v>487</v>
      </c>
      <c r="F104" s="12" t="s">
        <v>488</v>
      </c>
      <c r="G104" s="12" t="s">
        <v>293</v>
      </c>
      <c r="H104" s="12" t="s">
        <v>287</v>
      </c>
      <c r="I104" s="12" t="s">
        <v>288</v>
      </c>
    </row>
    <row r="105" customFormat="false" ht="23.85" hidden="false" customHeight="false" outlineLevel="0" collapsed="false">
      <c r="A105" s="12" t="s">
        <v>109</v>
      </c>
      <c r="B105" s="12" t="s">
        <v>400</v>
      </c>
      <c r="C105" s="12" t="s">
        <v>282</v>
      </c>
      <c r="D105" s="12" t="s">
        <v>283</v>
      </c>
      <c r="E105" s="12" t="s">
        <v>489</v>
      </c>
      <c r="F105" s="12" t="s">
        <v>490</v>
      </c>
      <c r="G105" s="12" t="s">
        <v>293</v>
      </c>
      <c r="H105" s="12" t="s">
        <v>287</v>
      </c>
      <c r="I105" s="12" t="s">
        <v>288</v>
      </c>
    </row>
    <row r="106" customFormat="false" ht="23.85" hidden="false" customHeight="false" outlineLevel="0" collapsed="false">
      <c r="A106" s="12" t="s">
        <v>109</v>
      </c>
      <c r="B106" s="12" t="s">
        <v>400</v>
      </c>
      <c r="C106" s="12" t="s">
        <v>282</v>
      </c>
      <c r="D106" s="12" t="s">
        <v>283</v>
      </c>
      <c r="E106" s="12" t="s">
        <v>491</v>
      </c>
      <c r="F106" s="12" t="s">
        <v>492</v>
      </c>
      <c r="G106" s="12" t="s">
        <v>293</v>
      </c>
      <c r="H106" s="12" t="s">
        <v>287</v>
      </c>
      <c r="I106" s="12" t="s">
        <v>288</v>
      </c>
    </row>
    <row r="107" customFormat="false" ht="23.85" hidden="false" customHeight="false" outlineLevel="0" collapsed="false">
      <c r="A107" s="12" t="s">
        <v>109</v>
      </c>
      <c r="B107" s="12" t="s">
        <v>400</v>
      </c>
      <c r="C107" s="12" t="s">
        <v>282</v>
      </c>
      <c r="D107" s="12" t="s">
        <v>283</v>
      </c>
      <c r="E107" s="12" t="s">
        <v>493</v>
      </c>
      <c r="F107" s="12" t="s">
        <v>494</v>
      </c>
      <c r="G107" s="12" t="s">
        <v>293</v>
      </c>
      <c r="H107" s="12" t="s">
        <v>287</v>
      </c>
      <c r="I107" s="12" t="s">
        <v>288</v>
      </c>
    </row>
    <row r="108" customFormat="false" ht="23.85" hidden="false" customHeight="false" outlineLevel="0" collapsed="false">
      <c r="A108" s="12" t="s">
        <v>109</v>
      </c>
      <c r="B108" s="12" t="s">
        <v>400</v>
      </c>
      <c r="C108" s="12" t="s">
        <v>282</v>
      </c>
      <c r="D108" s="12" t="s">
        <v>283</v>
      </c>
      <c r="E108" s="12" t="s">
        <v>495</v>
      </c>
      <c r="F108" s="12" t="s">
        <v>496</v>
      </c>
      <c r="G108" s="12" t="s">
        <v>293</v>
      </c>
      <c r="H108" s="12" t="s">
        <v>287</v>
      </c>
      <c r="I108" s="12" t="s">
        <v>288</v>
      </c>
    </row>
    <row r="109" customFormat="false" ht="23.85" hidden="false" customHeight="false" outlineLevel="0" collapsed="false">
      <c r="A109" s="12" t="s">
        <v>109</v>
      </c>
      <c r="B109" s="12" t="s">
        <v>400</v>
      </c>
      <c r="C109" s="12" t="s">
        <v>282</v>
      </c>
      <c r="D109" s="12" t="s">
        <v>283</v>
      </c>
      <c r="E109" s="12" t="s">
        <v>497</v>
      </c>
      <c r="F109" s="12" t="s">
        <v>498</v>
      </c>
      <c r="G109" s="12" t="s">
        <v>293</v>
      </c>
      <c r="H109" s="12" t="s">
        <v>287</v>
      </c>
      <c r="I109" s="12" t="s">
        <v>288</v>
      </c>
    </row>
    <row r="110" customFormat="false" ht="23.85" hidden="false" customHeight="false" outlineLevel="0" collapsed="false">
      <c r="A110" s="12" t="s">
        <v>109</v>
      </c>
      <c r="B110" s="12" t="s">
        <v>400</v>
      </c>
      <c r="C110" s="12" t="s">
        <v>282</v>
      </c>
      <c r="D110" s="12" t="s">
        <v>283</v>
      </c>
      <c r="E110" s="12" t="s">
        <v>499</v>
      </c>
      <c r="F110" s="12" t="s">
        <v>500</v>
      </c>
      <c r="G110" s="12" t="s">
        <v>286</v>
      </c>
      <c r="H110" s="12" t="s">
        <v>287</v>
      </c>
      <c r="I110" s="12" t="s">
        <v>288</v>
      </c>
    </row>
    <row r="111" customFormat="false" ht="23.85" hidden="false" customHeight="false" outlineLevel="0" collapsed="false">
      <c r="A111" s="12" t="s">
        <v>109</v>
      </c>
      <c r="B111" s="12" t="s">
        <v>400</v>
      </c>
      <c r="C111" s="12" t="s">
        <v>282</v>
      </c>
      <c r="D111" s="12" t="s">
        <v>283</v>
      </c>
      <c r="E111" s="12" t="s">
        <v>501</v>
      </c>
      <c r="F111" s="12" t="s">
        <v>502</v>
      </c>
      <c r="G111" s="12" t="s">
        <v>286</v>
      </c>
      <c r="H111" s="12" t="s">
        <v>287</v>
      </c>
      <c r="I111" s="12" t="s">
        <v>288</v>
      </c>
    </row>
    <row r="112" customFormat="false" ht="23.85" hidden="false" customHeight="false" outlineLevel="0" collapsed="false">
      <c r="A112" s="12" t="s">
        <v>109</v>
      </c>
      <c r="B112" s="12" t="s">
        <v>400</v>
      </c>
      <c r="C112" s="12" t="s">
        <v>282</v>
      </c>
      <c r="D112" s="12" t="s">
        <v>283</v>
      </c>
      <c r="E112" s="12" t="s">
        <v>503</v>
      </c>
      <c r="F112" s="12" t="s">
        <v>504</v>
      </c>
      <c r="G112" s="12" t="s">
        <v>293</v>
      </c>
      <c r="H112" s="12" t="s">
        <v>287</v>
      </c>
      <c r="I112" s="12" t="s">
        <v>288</v>
      </c>
    </row>
    <row r="113" customFormat="false" ht="23.85" hidden="false" customHeight="false" outlineLevel="0" collapsed="false">
      <c r="A113" s="12" t="s">
        <v>109</v>
      </c>
      <c r="B113" s="12" t="s">
        <v>400</v>
      </c>
      <c r="C113" s="12" t="s">
        <v>282</v>
      </c>
      <c r="D113" s="12" t="s">
        <v>283</v>
      </c>
      <c r="E113" s="12" t="s">
        <v>505</v>
      </c>
      <c r="F113" s="12" t="s">
        <v>506</v>
      </c>
      <c r="G113" s="12" t="s">
        <v>286</v>
      </c>
      <c r="H113" s="12" t="s">
        <v>287</v>
      </c>
      <c r="I113" s="12" t="s">
        <v>288</v>
      </c>
    </row>
    <row r="114" customFormat="false" ht="23.85" hidden="false" customHeight="false" outlineLevel="0" collapsed="false">
      <c r="A114" s="12" t="s">
        <v>109</v>
      </c>
      <c r="B114" s="12" t="s">
        <v>400</v>
      </c>
      <c r="C114" s="12" t="s">
        <v>282</v>
      </c>
      <c r="D114" s="12" t="s">
        <v>283</v>
      </c>
      <c r="E114" s="12" t="s">
        <v>507</v>
      </c>
      <c r="F114" s="12" t="s">
        <v>508</v>
      </c>
      <c r="G114" s="12" t="s">
        <v>293</v>
      </c>
      <c r="H114" s="12" t="s">
        <v>287</v>
      </c>
      <c r="I114" s="12" t="s">
        <v>288</v>
      </c>
    </row>
    <row r="115" customFormat="false" ht="23.85" hidden="false" customHeight="false" outlineLevel="0" collapsed="false">
      <c r="A115" s="12" t="s">
        <v>109</v>
      </c>
      <c r="B115" s="12" t="s">
        <v>400</v>
      </c>
      <c r="C115" s="12" t="s">
        <v>282</v>
      </c>
      <c r="D115" s="12" t="s">
        <v>283</v>
      </c>
      <c r="E115" s="12" t="s">
        <v>509</v>
      </c>
      <c r="F115" s="12" t="s">
        <v>510</v>
      </c>
      <c r="G115" s="12" t="s">
        <v>293</v>
      </c>
      <c r="H115" s="12" t="s">
        <v>287</v>
      </c>
      <c r="I115" s="12" t="s">
        <v>288</v>
      </c>
    </row>
    <row r="116" customFormat="false" ht="23.85" hidden="false" customHeight="false" outlineLevel="0" collapsed="false">
      <c r="A116" s="12" t="s">
        <v>109</v>
      </c>
      <c r="B116" s="12" t="s">
        <v>400</v>
      </c>
      <c r="C116" s="12" t="s">
        <v>282</v>
      </c>
      <c r="D116" s="12" t="s">
        <v>283</v>
      </c>
      <c r="E116" s="12" t="s">
        <v>511</v>
      </c>
      <c r="F116" s="12" t="s">
        <v>512</v>
      </c>
      <c r="G116" s="12" t="s">
        <v>293</v>
      </c>
      <c r="H116" s="12" t="s">
        <v>287</v>
      </c>
      <c r="I116" s="12" t="s">
        <v>288</v>
      </c>
    </row>
    <row r="117" customFormat="false" ht="23.85" hidden="false" customHeight="false" outlineLevel="0" collapsed="false">
      <c r="A117" s="12" t="s">
        <v>109</v>
      </c>
      <c r="B117" s="12" t="s">
        <v>400</v>
      </c>
      <c r="C117" s="12" t="s">
        <v>282</v>
      </c>
      <c r="D117" s="12" t="s">
        <v>283</v>
      </c>
      <c r="E117" s="12" t="s">
        <v>513</v>
      </c>
      <c r="F117" s="12" t="s">
        <v>514</v>
      </c>
      <c r="G117" s="12" t="s">
        <v>293</v>
      </c>
      <c r="H117" s="12" t="s">
        <v>287</v>
      </c>
      <c r="I117" s="12" t="s">
        <v>288</v>
      </c>
    </row>
    <row r="118" customFormat="false" ht="23.85" hidden="false" customHeight="false" outlineLevel="0" collapsed="false">
      <c r="A118" s="12" t="s">
        <v>109</v>
      </c>
      <c r="B118" s="12" t="s">
        <v>400</v>
      </c>
      <c r="C118" s="12" t="s">
        <v>282</v>
      </c>
      <c r="D118" s="12" t="s">
        <v>283</v>
      </c>
      <c r="E118" s="12" t="s">
        <v>515</v>
      </c>
      <c r="F118" s="12" t="s">
        <v>516</v>
      </c>
      <c r="G118" s="12" t="s">
        <v>293</v>
      </c>
      <c r="H118" s="12" t="s">
        <v>287</v>
      </c>
      <c r="I118" s="12" t="s">
        <v>288</v>
      </c>
    </row>
    <row r="119" customFormat="false" ht="23.85" hidden="false" customHeight="false" outlineLevel="0" collapsed="false">
      <c r="A119" s="12" t="s">
        <v>109</v>
      </c>
      <c r="B119" s="12" t="s">
        <v>400</v>
      </c>
      <c r="C119" s="12" t="s">
        <v>282</v>
      </c>
      <c r="D119" s="12" t="s">
        <v>283</v>
      </c>
      <c r="E119" s="12" t="s">
        <v>517</v>
      </c>
      <c r="F119" s="12" t="s">
        <v>518</v>
      </c>
      <c r="G119" s="12" t="s">
        <v>286</v>
      </c>
      <c r="H119" s="12" t="s">
        <v>287</v>
      </c>
      <c r="I119" s="12" t="s">
        <v>288</v>
      </c>
    </row>
    <row r="120" customFormat="false" ht="23.85" hidden="false" customHeight="false" outlineLevel="0" collapsed="false">
      <c r="A120" s="12" t="s">
        <v>109</v>
      </c>
      <c r="B120" s="12" t="s">
        <v>400</v>
      </c>
      <c r="C120" s="12" t="s">
        <v>282</v>
      </c>
      <c r="D120" s="12" t="s">
        <v>283</v>
      </c>
      <c r="E120" s="12" t="s">
        <v>519</v>
      </c>
      <c r="F120" s="12" t="s">
        <v>520</v>
      </c>
      <c r="G120" s="12" t="s">
        <v>293</v>
      </c>
      <c r="H120" s="12" t="s">
        <v>287</v>
      </c>
      <c r="I120" s="12" t="s">
        <v>288</v>
      </c>
    </row>
    <row r="121" customFormat="false" ht="23.85" hidden="false" customHeight="false" outlineLevel="0" collapsed="false">
      <c r="A121" s="12" t="s">
        <v>109</v>
      </c>
      <c r="B121" s="12" t="s">
        <v>400</v>
      </c>
      <c r="C121" s="12" t="s">
        <v>282</v>
      </c>
      <c r="D121" s="12" t="s">
        <v>283</v>
      </c>
      <c r="E121" s="12" t="s">
        <v>521</v>
      </c>
      <c r="F121" s="12" t="s">
        <v>522</v>
      </c>
      <c r="G121" s="12" t="s">
        <v>293</v>
      </c>
      <c r="H121" s="12" t="s">
        <v>287</v>
      </c>
      <c r="I121" s="12" t="s">
        <v>288</v>
      </c>
    </row>
    <row r="122" customFormat="false" ht="23.85" hidden="false" customHeight="false" outlineLevel="0" collapsed="false">
      <c r="A122" s="12" t="s">
        <v>109</v>
      </c>
      <c r="B122" s="12" t="s">
        <v>400</v>
      </c>
      <c r="C122" s="12" t="s">
        <v>282</v>
      </c>
      <c r="D122" s="12" t="s">
        <v>283</v>
      </c>
      <c r="E122" s="12" t="s">
        <v>523</v>
      </c>
      <c r="F122" s="12" t="s">
        <v>524</v>
      </c>
      <c r="G122" s="12" t="s">
        <v>293</v>
      </c>
      <c r="H122" s="12" t="s">
        <v>287</v>
      </c>
      <c r="I122" s="12" t="s">
        <v>288</v>
      </c>
    </row>
    <row r="123" customFormat="false" ht="23.85" hidden="false" customHeight="false" outlineLevel="0" collapsed="false">
      <c r="A123" s="12" t="s">
        <v>109</v>
      </c>
      <c r="B123" s="12" t="s">
        <v>400</v>
      </c>
      <c r="C123" s="12" t="s">
        <v>282</v>
      </c>
      <c r="D123" s="12" t="s">
        <v>283</v>
      </c>
      <c r="E123" s="12" t="s">
        <v>525</v>
      </c>
      <c r="F123" s="12" t="s">
        <v>526</v>
      </c>
      <c r="G123" s="12" t="s">
        <v>293</v>
      </c>
      <c r="H123" s="12" t="s">
        <v>287</v>
      </c>
      <c r="I123" s="12" t="s">
        <v>288</v>
      </c>
    </row>
    <row r="124" customFormat="false" ht="23.85" hidden="false" customHeight="false" outlineLevel="0" collapsed="false">
      <c r="A124" s="12" t="s">
        <v>109</v>
      </c>
      <c r="B124" s="12" t="s">
        <v>400</v>
      </c>
      <c r="C124" s="12" t="s">
        <v>282</v>
      </c>
      <c r="D124" s="12" t="s">
        <v>283</v>
      </c>
      <c r="E124" s="12" t="s">
        <v>527</v>
      </c>
      <c r="F124" s="12" t="s">
        <v>528</v>
      </c>
      <c r="G124" s="12" t="s">
        <v>293</v>
      </c>
      <c r="H124" s="12" t="s">
        <v>287</v>
      </c>
      <c r="I124" s="12" t="s">
        <v>288</v>
      </c>
    </row>
    <row r="125" customFormat="false" ht="23.85" hidden="false" customHeight="false" outlineLevel="0" collapsed="false">
      <c r="A125" s="12" t="s">
        <v>109</v>
      </c>
      <c r="B125" s="12" t="s">
        <v>400</v>
      </c>
      <c r="C125" s="12" t="s">
        <v>282</v>
      </c>
      <c r="D125" s="12" t="s">
        <v>283</v>
      </c>
      <c r="E125" s="12" t="s">
        <v>529</v>
      </c>
      <c r="F125" s="12" t="s">
        <v>530</v>
      </c>
      <c r="G125" s="12" t="s">
        <v>286</v>
      </c>
      <c r="H125" s="12" t="s">
        <v>287</v>
      </c>
      <c r="I125" s="12" t="s">
        <v>288</v>
      </c>
    </row>
    <row r="126" customFormat="false" ht="23.85" hidden="false" customHeight="false" outlineLevel="0" collapsed="false">
      <c r="A126" s="12" t="s">
        <v>109</v>
      </c>
      <c r="B126" s="12" t="s">
        <v>400</v>
      </c>
      <c r="C126" s="12" t="s">
        <v>282</v>
      </c>
      <c r="D126" s="12" t="s">
        <v>283</v>
      </c>
      <c r="E126" s="12" t="s">
        <v>531</v>
      </c>
      <c r="F126" s="12" t="s">
        <v>532</v>
      </c>
      <c r="G126" s="12" t="s">
        <v>293</v>
      </c>
      <c r="H126" s="12" t="s">
        <v>287</v>
      </c>
      <c r="I126" s="12" t="s">
        <v>288</v>
      </c>
    </row>
    <row r="127" customFormat="false" ht="23.85" hidden="false" customHeight="false" outlineLevel="0" collapsed="false">
      <c r="A127" s="12" t="s">
        <v>109</v>
      </c>
      <c r="B127" s="12" t="s">
        <v>400</v>
      </c>
      <c r="C127" s="12" t="s">
        <v>282</v>
      </c>
      <c r="D127" s="12" t="s">
        <v>283</v>
      </c>
      <c r="E127" s="12" t="s">
        <v>533</v>
      </c>
      <c r="F127" s="12" t="s">
        <v>534</v>
      </c>
      <c r="G127" s="12" t="s">
        <v>286</v>
      </c>
      <c r="H127" s="12" t="s">
        <v>287</v>
      </c>
      <c r="I127" s="12" t="s">
        <v>288</v>
      </c>
    </row>
    <row r="128" customFormat="false" ht="23.85" hidden="false" customHeight="false" outlineLevel="0" collapsed="false">
      <c r="A128" s="12" t="s">
        <v>109</v>
      </c>
      <c r="B128" s="12" t="s">
        <v>400</v>
      </c>
      <c r="C128" s="12" t="s">
        <v>282</v>
      </c>
      <c r="D128" s="12" t="s">
        <v>283</v>
      </c>
      <c r="E128" s="12" t="s">
        <v>535</v>
      </c>
      <c r="F128" s="12" t="s">
        <v>536</v>
      </c>
      <c r="G128" s="12" t="s">
        <v>293</v>
      </c>
      <c r="H128" s="12" t="s">
        <v>287</v>
      </c>
      <c r="I128" s="12" t="s">
        <v>288</v>
      </c>
    </row>
    <row r="129" customFormat="false" ht="23.85" hidden="false" customHeight="false" outlineLevel="0" collapsed="false">
      <c r="A129" s="12" t="s">
        <v>109</v>
      </c>
      <c r="B129" s="12" t="s">
        <v>400</v>
      </c>
      <c r="C129" s="12" t="s">
        <v>282</v>
      </c>
      <c r="D129" s="12" t="s">
        <v>283</v>
      </c>
      <c r="E129" s="12" t="s">
        <v>537</v>
      </c>
      <c r="F129" s="12" t="s">
        <v>538</v>
      </c>
      <c r="G129" s="12" t="s">
        <v>293</v>
      </c>
      <c r="H129" s="12" t="s">
        <v>287</v>
      </c>
      <c r="I129" s="12" t="s">
        <v>288</v>
      </c>
    </row>
    <row r="130" customFormat="false" ht="23.85" hidden="false" customHeight="false" outlineLevel="0" collapsed="false">
      <c r="A130" s="12" t="s">
        <v>109</v>
      </c>
      <c r="B130" s="12" t="s">
        <v>400</v>
      </c>
      <c r="C130" s="12" t="s">
        <v>282</v>
      </c>
      <c r="D130" s="12" t="s">
        <v>283</v>
      </c>
      <c r="E130" s="12" t="s">
        <v>539</v>
      </c>
      <c r="F130" s="12" t="s">
        <v>540</v>
      </c>
      <c r="G130" s="12" t="s">
        <v>293</v>
      </c>
      <c r="H130" s="12" t="s">
        <v>287</v>
      </c>
      <c r="I130" s="12" t="s">
        <v>288</v>
      </c>
    </row>
    <row r="131" customFormat="false" ht="23.85" hidden="false" customHeight="false" outlineLevel="0" collapsed="false">
      <c r="A131" s="12" t="s">
        <v>109</v>
      </c>
      <c r="B131" s="12" t="s">
        <v>400</v>
      </c>
      <c r="C131" s="12" t="s">
        <v>282</v>
      </c>
      <c r="D131" s="12" t="s">
        <v>283</v>
      </c>
      <c r="E131" s="12" t="s">
        <v>541</v>
      </c>
      <c r="F131" s="12" t="s">
        <v>542</v>
      </c>
      <c r="G131" s="12" t="s">
        <v>293</v>
      </c>
      <c r="H131" s="12" t="s">
        <v>287</v>
      </c>
      <c r="I131" s="12" t="s">
        <v>288</v>
      </c>
    </row>
    <row r="132" customFormat="false" ht="23.85" hidden="false" customHeight="false" outlineLevel="0" collapsed="false">
      <c r="A132" s="12" t="s">
        <v>109</v>
      </c>
      <c r="B132" s="12" t="s">
        <v>400</v>
      </c>
      <c r="C132" s="12" t="s">
        <v>282</v>
      </c>
      <c r="D132" s="12" t="s">
        <v>283</v>
      </c>
      <c r="E132" s="12" t="s">
        <v>543</v>
      </c>
      <c r="F132" s="12" t="s">
        <v>544</v>
      </c>
      <c r="G132" s="12" t="s">
        <v>293</v>
      </c>
      <c r="H132" s="12" t="s">
        <v>287</v>
      </c>
      <c r="I132" s="12" t="s">
        <v>288</v>
      </c>
    </row>
    <row r="133" customFormat="false" ht="23.85" hidden="false" customHeight="false" outlineLevel="0" collapsed="false">
      <c r="A133" s="12" t="s">
        <v>109</v>
      </c>
      <c r="B133" s="12" t="s">
        <v>400</v>
      </c>
      <c r="C133" s="12" t="s">
        <v>282</v>
      </c>
      <c r="D133" s="12" t="s">
        <v>283</v>
      </c>
      <c r="E133" s="12" t="s">
        <v>545</v>
      </c>
      <c r="F133" s="12" t="s">
        <v>546</v>
      </c>
      <c r="G133" s="12" t="s">
        <v>286</v>
      </c>
      <c r="H133" s="12" t="s">
        <v>287</v>
      </c>
      <c r="I133" s="12" t="s">
        <v>288</v>
      </c>
    </row>
    <row r="134" customFormat="false" ht="23.85" hidden="false" customHeight="false" outlineLevel="0" collapsed="false">
      <c r="A134" s="12" t="s">
        <v>109</v>
      </c>
      <c r="B134" s="12" t="s">
        <v>400</v>
      </c>
      <c r="C134" s="12" t="s">
        <v>282</v>
      </c>
      <c r="D134" s="12" t="s">
        <v>283</v>
      </c>
      <c r="E134" s="12" t="s">
        <v>547</v>
      </c>
      <c r="F134" s="12" t="s">
        <v>548</v>
      </c>
      <c r="G134" s="12" t="s">
        <v>293</v>
      </c>
      <c r="H134" s="12" t="s">
        <v>287</v>
      </c>
      <c r="I134" s="12" t="s">
        <v>288</v>
      </c>
    </row>
    <row r="135" customFormat="false" ht="23.85" hidden="false" customHeight="false" outlineLevel="0" collapsed="false">
      <c r="A135" s="12" t="s">
        <v>109</v>
      </c>
      <c r="B135" s="12" t="s">
        <v>400</v>
      </c>
      <c r="C135" s="12" t="s">
        <v>282</v>
      </c>
      <c r="D135" s="12" t="s">
        <v>283</v>
      </c>
      <c r="E135" s="12" t="s">
        <v>549</v>
      </c>
      <c r="F135" s="12" t="s">
        <v>550</v>
      </c>
      <c r="G135" s="12" t="s">
        <v>293</v>
      </c>
      <c r="H135" s="12" t="s">
        <v>287</v>
      </c>
      <c r="I135" s="12" t="s">
        <v>288</v>
      </c>
    </row>
    <row r="136" customFormat="false" ht="23.85" hidden="false" customHeight="false" outlineLevel="0" collapsed="false">
      <c r="A136" s="12" t="s">
        <v>109</v>
      </c>
      <c r="B136" s="12" t="s">
        <v>400</v>
      </c>
      <c r="C136" s="12" t="s">
        <v>282</v>
      </c>
      <c r="D136" s="12" t="s">
        <v>283</v>
      </c>
      <c r="E136" s="12" t="s">
        <v>551</v>
      </c>
      <c r="F136" s="12" t="s">
        <v>552</v>
      </c>
      <c r="G136" s="12" t="s">
        <v>293</v>
      </c>
      <c r="H136" s="12" t="s">
        <v>287</v>
      </c>
      <c r="I136" s="12" t="s">
        <v>288</v>
      </c>
    </row>
    <row r="137" customFormat="false" ht="23.85" hidden="false" customHeight="false" outlineLevel="0" collapsed="false">
      <c r="A137" s="12" t="s">
        <v>109</v>
      </c>
      <c r="B137" s="12" t="s">
        <v>400</v>
      </c>
      <c r="C137" s="12" t="s">
        <v>282</v>
      </c>
      <c r="D137" s="12" t="s">
        <v>283</v>
      </c>
      <c r="E137" s="12" t="s">
        <v>553</v>
      </c>
      <c r="F137" s="12" t="s">
        <v>554</v>
      </c>
      <c r="G137" s="12" t="s">
        <v>293</v>
      </c>
      <c r="H137" s="12" t="s">
        <v>287</v>
      </c>
      <c r="I137" s="12" t="s">
        <v>288</v>
      </c>
    </row>
    <row r="138" customFormat="false" ht="23.85" hidden="false" customHeight="false" outlineLevel="0" collapsed="false">
      <c r="A138" s="12" t="s">
        <v>109</v>
      </c>
      <c r="B138" s="12" t="s">
        <v>400</v>
      </c>
      <c r="C138" s="12" t="s">
        <v>282</v>
      </c>
      <c r="D138" s="12" t="s">
        <v>283</v>
      </c>
      <c r="E138" s="12" t="s">
        <v>555</v>
      </c>
      <c r="F138" s="12" t="s">
        <v>556</v>
      </c>
      <c r="G138" s="12" t="s">
        <v>293</v>
      </c>
      <c r="H138" s="12" t="s">
        <v>287</v>
      </c>
      <c r="I138" s="12" t="s">
        <v>288</v>
      </c>
    </row>
    <row r="139" customFormat="false" ht="23.85" hidden="false" customHeight="false" outlineLevel="0" collapsed="false">
      <c r="A139" s="12" t="s">
        <v>109</v>
      </c>
      <c r="B139" s="12" t="s">
        <v>400</v>
      </c>
      <c r="C139" s="12" t="s">
        <v>282</v>
      </c>
      <c r="D139" s="12" t="s">
        <v>283</v>
      </c>
      <c r="E139" s="12" t="s">
        <v>557</v>
      </c>
      <c r="F139" s="12" t="s">
        <v>558</v>
      </c>
      <c r="G139" s="12" t="s">
        <v>286</v>
      </c>
      <c r="H139" s="12" t="s">
        <v>287</v>
      </c>
      <c r="I139" s="12" t="s">
        <v>288</v>
      </c>
    </row>
    <row r="140" customFormat="false" ht="23.85" hidden="false" customHeight="false" outlineLevel="0" collapsed="false">
      <c r="A140" s="12" t="s">
        <v>109</v>
      </c>
      <c r="B140" s="12" t="s">
        <v>400</v>
      </c>
      <c r="C140" s="12" t="s">
        <v>282</v>
      </c>
      <c r="D140" s="12" t="s">
        <v>283</v>
      </c>
      <c r="E140" s="12" t="s">
        <v>559</v>
      </c>
      <c r="F140" s="12" t="s">
        <v>560</v>
      </c>
      <c r="G140" s="12" t="s">
        <v>293</v>
      </c>
      <c r="H140" s="12" t="s">
        <v>287</v>
      </c>
      <c r="I140" s="12" t="s">
        <v>288</v>
      </c>
    </row>
    <row r="141" customFormat="false" ht="23.85" hidden="false" customHeight="false" outlineLevel="0" collapsed="false">
      <c r="A141" s="12" t="s">
        <v>109</v>
      </c>
      <c r="B141" s="12" t="s">
        <v>400</v>
      </c>
      <c r="C141" s="12" t="s">
        <v>282</v>
      </c>
      <c r="D141" s="12" t="s">
        <v>283</v>
      </c>
      <c r="E141" s="12" t="s">
        <v>561</v>
      </c>
      <c r="F141" s="12" t="s">
        <v>562</v>
      </c>
      <c r="G141" s="12" t="s">
        <v>286</v>
      </c>
      <c r="H141" s="12" t="s">
        <v>287</v>
      </c>
      <c r="I141" s="12" t="s">
        <v>288</v>
      </c>
    </row>
    <row r="142" customFormat="false" ht="23.85" hidden="false" customHeight="false" outlineLevel="0" collapsed="false">
      <c r="A142" s="12" t="s">
        <v>109</v>
      </c>
      <c r="B142" s="12" t="s">
        <v>400</v>
      </c>
      <c r="C142" s="12" t="s">
        <v>282</v>
      </c>
      <c r="D142" s="12" t="s">
        <v>283</v>
      </c>
      <c r="E142" s="12" t="s">
        <v>563</v>
      </c>
      <c r="F142" s="12" t="s">
        <v>564</v>
      </c>
      <c r="G142" s="12" t="s">
        <v>293</v>
      </c>
      <c r="H142" s="12" t="s">
        <v>287</v>
      </c>
      <c r="I142" s="12" t="s">
        <v>288</v>
      </c>
    </row>
    <row r="143" customFormat="false" ht="23.85" hidden="false" customHeight="false" outlineLevel="0" collapsed="false">
      <c r="A143" s="12" t="s">
        <v>109</v>
      </c>
      <c r="B143" s="12" t="s">
        <v>400</v>
      </c>
      <c r="C143" s="12" t="s">
        <v>282</v>
      </c>
      <c r="D143" s="12" t="s">
        <v>283</v>
      </c>
      <c r="E143" s="12" t="s">
        <v>565</v>
      </c>
      <c r="F143" s="12" t="s">
        <v>566</v>
      </c>
      <c r="G143" s="12" t="s">
        <v>293</v>
      </c>
      <c r="H143" s="12" t="s">
        <v>287</v>
      </c>
      <c r="I143" s="12" t="s">
        <v>288</v>
      </c>
    </row>
    <row r="144" customFormat="false" ht="23.85" hidden="false" customHeight="false" outlineLevel="0" collapsed="false">
      <c r="A144" s="12" t="s">
        <v>109</v>
      </c>
      <c r="B144" s="12" t="s">
        <v>400</v>
      </c>
      <c r="C144" s="12" t="s">
        <v>282</v>
      </c>
      <c r="D144" s="12" t="s">
        <v>283</v>
      </c>
      <c r="E144" s="12" t="s">
        <v>567</v>
      </c>
      <c r="F144" s="12" t="s">
        <v>568</v>
      </c>
      <c r="G144" s="12" t="s">
        <v>293</v>
      </c>
      <c r="H144" s="12" t="s">
        <v>287</v>
      </c>
      <c r="I144" s="12" t="s">
        <v>288</v>
      </c>
    </row>
    <row r="145" customFormat="false" ht="23.85" hidden="false" customHeight="false" outlineLevel="0" collapsed="false">
      <c r="A145" s="12" t="s">
        <v>109</v>
      </c>
      <c r="B145" s="12" t="s">
        <v>400</v>
      </c>
      <c r="C145" s="12" t="s">
        <v>282</v>
      </c>
      <c r="D145" s="12" t="s">
        <v>283</v>
      </c>
      <c r="E145" s="12" t="s">
        <v>569</v>
      </c>
      <c r="F145" s="12" t="s">
        <v>570</v>
      </c>
      <c r="G145" s="12" t="s">
        <v>293</v>
      </c>
      <c r="H145" s="12" t="s">
        <v>287</v>
      </c>
      <c r="I145" s="12" t="s">
        <v>288</v>
      </c>
    </row>
    <row r="146" customFormat="false" ht="23.85" hidden="false" customHeight="false" outlineLevel="0" collapsed="false">
      <c r="A146" s="12" t="s">
        <v>109</v>
      </c>
      <c r="B146" s="12" t="s">
        <v>400</v>
      </c>
      <c r="C146" s="12" t="s">
        <v>282</v>
      </c>
      <c r="D146" s="12" t="s">
        <v>283</v>
      </c>
      <c r="E146" s="12" t="s">
        <v>571</v>
      </c>
      <c r="F146" s="12" t="s">
        <v>572</v>
      </c>
      <c r="G146" s="12" t="s">
        <v>293</v>
      </c>
      <c r="H146" s="12" t="s">
        <v>287</v>
      </c>
      <c r="I146" s="12" t="s">
        <v>288</v>
      </c>
    </row>
    <row r="147" customFormat="false" ht="23.85" hidden="false" customHeight="false" outlineLevel="0" collapsed="false">
      <c r="A147" s="12" t="s">
        <v>109</v>
      </c>
      <c r="B147" s="12" t="s">
        <v>400</v>
      </c>
      <c r="C147" s="12" t="s">
        <v>282</v>
      </c>
      <c r="D147" s="12" t="s">
        <v>283</v>
      </c>
      <c r="E147" s="12" t="s">
        <v>573</v>
      </c>
      <c r="F147" s="12" t="s">
        <v>574</v>
      </c>
      <c r="G147" s="12" t="s">
        <v>286</v>
      </c>
      <c r="H147" s="12" t="s">
        <v>287</v>
      </c>
      <c r="I147" s="12" t="s">
        <v>288</v>
      </c>
    </row>
    <row r="148" customFormat="false" ht="23.85" hidden="false" customHeight="false" outlineLevel="0" collapsed="false">
      <c r="A148" s="12" t="s">
        <v>109</v>
      </c>
      <c r="B148" s="12" t="s">
        <v>400</v>
      </c>
      <c r="C148" s="12" t="s">
        <v>282</v>
      </c>
      <c r="D148" s="12" t="s">
        <v>283</v>
      </c>
      <c r="E148" s="12" t="s">
        <v>575</v>
      </c>
      <c r="F148" s="12" t="s">
        <v>576</v>
      </c>
      <c r="G148" s="12" t="s">
        <v>293</v>
      </c>
      <c r="H148" s="12" t="s">
        <v>287</v>
      </c>
      <c r="I148" s="12" t="s">
        <v>288</v>
      </c>
    </row>
    <row r="149" customFormat="false" ht="23.85" hidden="false" customHeight="false" outlineLevel="0" collapsed="false">
      <c r="A149" s="12" t="s">
        <v>109</v>
      </c>
      <c r="B149" s="12" t="s">
        <v>400</v>
      </c>
      <c r="C149" s="12" t="s">
        <v>282</v>
      </c>
      <c r="D149" s="12" t="s">
        <v>283</v>
      </c>
      <c r="E149" s="12" t="s">
        <v>577</v>
      </c>
      <c r="F149" s="12" t="s">
        <v>578</v>
      </c>
      <c r="G149" s="12" t="s">
        <v>293</v>
      </c>
      <c r="H149" s="12" t="s">
        <v>287</v>
      </c>
      <c r="I149" s="12" t="s">
        <v>288</v>
      </c>
    </row>
    <row r="150" customFormat="false" ht="23.85" hidden="false" customHeight="false" outlineLevel="0" collapsed="false">
      <c r="A150" s="12" t="s">
        <v>109</v>
      </c>
      <c r="B150" s="12" t="s">
        <v>400</v>
      </c>
      <c r="C150" s="12" t="s">
        <v>282</v>
      </c>
      <c r="D150" s="12" t="s">
        <v>283</v>
      </c>
      <c r="E150" s="12" t="s">
        <v>579</v>
      </c>
      <c r="F150" s="12" t="s">
        <v>580</v>
      </c>
      <c r="G150" s="12" t="s">
        <v>293</v>
      </c>
      <c r="H150" s="12" t="s">
        <v>287</v>
      </c>
      <c r="I150" s="12" t="s">
        <v>288</v>
      </c>
    </row>
    <row r="151" customFormat="false" ht="23.85" hidden="false" customHeight="false" outlineLevel="0" collapsed="false">
      <c r="A151" s="12" t="s">
        <v>109</v>
      </c>
      <c r="B151" s="12" t="s">
        <v>400</v>
      </c>
      <c r="C151" s="12" t="s">
        <v>282</v>
      </c>
      <c r="D151" s="12" t="s">
        <v>283</v>
      </c>
      <c r="E151" s="12" t="s">
        <v>581</v>
      </c>
      <c r="F151" s="12" t="s">
        <v>582</v>
      </c>
      <c r="G151" s="12" t="s">
        <v>293</v>
      </c>
      <c r="H151" s="12" t="s">
        <v>287</v>
      </c>
      <c r="I151" s="12" t="s">
        <v>288</v>
      </c>
    </row>
    <row r="152" customFormat="false" ht="23.85" hidden="false" customHeight="false" outlineLevel="0" collapsed="false">
      <c r="A152" s="12" t="s">
        <v>109</v>
      </c>
      <c r="B152" s="12" t="s">
        <v>400</v>
      </c>
      <c r="C152" s="12" t="s">
        <v>282</v>
      </c>
      <c r="D152" s="12" t="s">
        <v>283</v>
      </c>
      <c r="E152" s="12" t="s">
        <v>583</v>
      </c>
      <c r="F152" s="12" t="s">
        <v>584</v>
      </c>
      <c r="G152" s="12" t="s">
        <v>293</v>
      </c>
      <c r="H152" s="12" t="s">
        <v>287</v>
      </c>
      <c r="I152" s="12" t="s">
        <v>288</v>
      </c>
    </row>
    <row r="153" customFormat="false" ht="23.85" hidden="false" customHeight="false" outlineLevel="0" collapsed="false">
      <c r="A153" s="12" t="s">
        <v>109</v>
      </c>
      <c r="B153" s="12" t="s">
        <v>400</v>
      </c>
      <c r="C153" s="12" t="s">
        <v>282</v>
      </c>
      <c r="D153" s="12" t="s">
        <v>283</v>
      </c>
      <c r="E153" s="12" t="s">
        <v>585</v>
      </c>
      <c r="F153" s="12" t="s">
        <v>586</v>
      </c>
      <c r="G153" s="12" t="s">
        <v>286</v>
      </c>
      <c r="H153" s="12" t="s">
        <v>287</v>
      </c>
      <c r="I153" s="12" t="s">
        <v>288</v>
      </c>
    </row>
    <row r="154" customFormat="false" ht="23.85" hidden="false" customHeight="false" outlineLevel="0" collapsed="false">
      <c r="A154" s="12" t="s">
        <v>109</v>
      </c>
      <c r="B154" s="12" t="s">
        <v>400</v>
      </c>
      <c r="C154" s="12" t="s">
        <v>282</v>
      </c>
      <c r="D154" s="12" t="s">
        <v>283</v>
      </c>
      <c r="E154" s="12" t="s">
        <v>587</v>
      </c>
      <c r="F154" s="12" t="s">
        <v>588</v>
      </c>
      <c r="G154" s="12" t="s">
        <v>293</v>
      </c>
      <c r="H154" s="12" t="s">
        <v>287</v>
      </c>
      <c r="I154" s="12" t="s">
        <v>288</v>
      </c>
    </row>
    <row r="155" customFormat="false" ht="23.85" hidden="false" customHeight="false" outlineLevel="0" collapsed="false">
      <c r="A155" s="12" t="s">
        <v>109</v>
      </c>
      <c r="B155" s="12" t="s">
        <v>400</v>
      </c>
      <c r="C155" s="12" t="s">
        <v>282</v>
      </c>
      <c r="D155" s="12" t="s">
        <v>283</v>
      </c>
      <c r="E155" s="12" t="s">
        <v>589</v>
      </c>
      <c r="F155" s="12" t="s">
        <v>590</v>
      </c>
      <c r="G155" s="12" t="s">
        <v>286</v>
      </c>
      <c r="H155" s="12" t="s">
        <v>287</v>
      </c>
      <c r="I155" s="12" t="s">
        <v>288</v>
      </c>
    </row>
    <row r="156" customFormat="false" ht="23.85" hidden="false" customHeight="false" outlineLevel="0" collapsed="false">
      <c r="A156" s="12" t="s">
        <v>109</v>
      </c>
      <c r="B156" s="12" t="s">
        <v>400</v>
      </c>
      <c r="C156" s="12" t="s">
        <v>282</v>
      </c>
      <c r="D156" s="12" t="s">
        <v>283</v>
      </c>
      <c r="E156" s="12" t="s">
        <v>591</v>
      </c>
      <c r="F156" s="12" t="s">
        <v>592</v>
      </c>
      <c r="G156" s="12" t="s">
        <v>293</v>
      </c>
      <c r="H156" s="12" t="s">
        <v>287</v>
      </c>
      <c r="I156" s="12" t="s">
        <v>288</v>
      </c>
    </row>
    <row r="157" customFormat="false" ht="23.85" hidden="false" customHeight="false" outlineLevel="0" collapsed="false">
      <c r="A157" s="12" t="s">
        <v>109</v>
      </c>
      <c r="B157" s="12" t="s">
        <v>400</v>
      </c>
      <c r="C157" s="12" t="s">
        <v>282</v>
      </c>
      <c r="D157" s="12" t="s">
        <v>283</v>
      </c>
      <c r="E157" s="12" t="s">
        <v>593</v>
      </c>
      <c r="F157" s="12" t="s">
        <v>594</v>
      </c>
      <c r="G157" s="12" t="s">
        <v>293</v>
      </c>
      <c r="H157" s="12" t="s">
        <v>287</v>
      </c>
      <c r="I157" s="12" t="s">
        <v>288</v>
      </c>
    </row>
    <row r="158" customFormat="false" ht="23.85" hidden="false" customHeight="false" outlineLevel="0" collapsed="false">
      <c r="A158" s="12" t="s">
        <v>109</v>
      </c>
      <c r="B158" s="12" t="s">
        <v>400</v>
      </c>
      <c r="C158" s="12" t="s">
        <v>282</v>
      </c>
      <c r="D158" s="12" t="s">
        <v>283</v>
      </c>
      <c r="E158" s="12" t="s">
        <v>595</v>
      </c>
      <c r="F158" s="12" t="s">
        <v>596</v>
      </c>
      <c r="G158" s="12" t="s">
        <v>293</v>
      </c>
      <c r="H158" s="12" t="s">
        <v>287</v>
      </c>
      <c r="I158" s="12" t="s">
        <v>288</v>
      </c>
    </row>
    <row r="159" customFormat="false" ht="23.85" hidden="false" customHeight="false" outlineLevel="0" collapsed="false">
      <c r="A159" s="12" t="s">
        <v>109</v>
      </c>
      <c r="B159" s="12" t="s">
        <v>400</v>
      </c>
      <c r="C159" s="12" t="s">
        <v>282</v>
      </c>
      <c r="D159" s="12" t="s">
        <v>283</v>
      </c>
      <c r="E159" s="12" t="s">
        <v>597</v>
      </c>
      <c r="F159" s="12" t="s">
        <v>598</v>
      </c>
      <c r="G159" s="12" t="s">
        <v>293</v>
      </c>
      <c r="H159" s="12" t="s">
        <v>287</v>
      </c>
      <c r="I159" s="12" t="s">
        <v>288</v>
      </c>
    </row>
    <row r="160" customFormat="false" ht="23.85" hidden="false" customHeight="false" outlineLevel="0" collapsed="false">
      <c r="A160" s="12" t="s">
        <v>109</v>
      </c>
      <c r="B160" s="12" t="s">
        <v>400</v>
      </c>
      <c r="C160" s="12" t="s">
        <v>282</v>
      </c>
      <c r="D160" s="12" t="s">
        <v>283</v>
      </c>
      <c r="E160" s="12" t="s">
        <v>599</v>
      </c>
      <c r="F160" s="12" t="s">
        <v>600</v>
      </c>
      <c r="G160" s="12" t="s">
        <v>286</v>
      </c>
      <c r="H160" s="12" t="s">
        <v>287</v>
      </c>
      <c r="I160" s="12" t="s">
        <v>288</v>
      </c>
    </row>
    <row r="161" customFormat="false" ht="23.85" hidden="false" customHeight="false" outlineLevel="0" collapsed="false">
      <c r="A161" s="12" t="s">
        <v>109</v>
      </c>
      <c r="B161" s="12" t="s">
        <v>400</v>
      </c>
      <c r="C161" s="12" t="s">
        <v>282</v>
      </c>
      <c r="D161" s="12" t="s">
        <v>283</v>
      </c>
      <c r="E161" s="12" t="s">
        <v>601</v>
      </c>
      <c r="F161" s="12" t="s">
        <v>602</v>
      </c>
      <c r="G161" s="12" t="s">
        <v>293</v>
      </c>
      <c r="H161" s="12" t="s">
        <v>287</v>
      </c>
      <c r="I161" s="12" t="s">
        <v>288</v>
      </c>
    </row>
    <row r="162" customFormat="false" ht="23.85" hidden="false" customHeight="false" outlineLevel="0" collapsed="false">
      <c r="A162" s="12" t="s">
        <v>109</v>
      </c>
      <c r="B162" s="12" t="s">
        <v>400</v>
      </c>
      <c r="C162" s="12" t="s">
        <v>282</v>
      </c>
      <c r="D162" s="12" t="s">
        <v>283</v>
      </c>
      <c r="E162" s="12" t="s">
        <v>603</v>
      </c>
      <c r="F162" s="12" t="s">
        <v>604</v>
      </c>
      <c r="G162" s="12" t="s">
        <v>293</v>
      </c>
      <c r="H162" s="12" t="s">
        <v>287</v>
      </c>
      <c r="I162" s="12" t="s">
        <v>288</v>
      </c>
    </row>
    <row r="163" customFormat="false" ht="23.85" hidden="false" customHeight="false" outlineLevel="0" collapsed="false">
      <c r="A163" s="12" t="s">
        <v>109</v>
      </c>
      <c r="B163" s="12" t="s">
        <v>400</v>
      </c>
      <c r="C163" s="12" t="s">
        <v>282</v>
      </c>
      <c r="D163" s="12" t="s">
        <v>283</v>
      </c>
      <c r="E163" s="12" t="s">
        <v>605</v>
      </c>
      <c r="F163" s="12" t="s">
        <v>606</v>
      </c>
      <c r="G163" s="12" t="s">
        <v>293</v>
      </c>
      <c r="H163" s="12" t="s">
        <v>287</v>
      </c>
      <c r="I163" s="12" t="s">
        <v>288</v>
      </c>
    </row>
    <row r="164" customFormat="false" ht="23.85" hidden="false" customHeight="false" outlineLevel="0" collapsed="false">
      <c r="A164" s="12" t="s">
        <v>109</v>
      </c>
      <c r="B164" s="12" t="s">
        <v>400</v>
      </c>
      <c r="C164" s="12" t="s">
        <v>282</v>
      </c>
      <c r="D164" s="12" t="s">
        <v>283</v>
      </c>
      <c r="E164" s="12" t="s">
        <v>607</v>
      </c>
      <c r="F164" s="12" t="s">
        <v>608</v>
      </c>
      <c r="G164" s="12" t="s">
        <v>293</v>
      </c>
      <c r="H164" s="12" t="s">
        <v>287</v>
      </c>
      <c r="I164" s="12" t="s">
        <v>288</v>
      </c>
    </row>
    <row r="165" customFormat="false" ht="23.85" hidden="false" customHeight="false" outlineLevel="0" collapsed="false">
      <c r="A165" s="12" t="s">
        <v>109</v>
      </c>
      <c r="B165" s="12" t="s">
        <v>400</v>
      </c>
      <c r="C165" s="12" t="s">
        <v>282</v>
      </c>
      <c r="D165" s="12" t="s">
        <v>283</v>
      </c>
      <c r="E165" s="12" t="s">
        <v>609</v>
      </c>
      <c r="F165" s="12" t="s">
        <v>610</v>
      </c>
      <c r="G165" s="12" t="s">
        <v>286</v>
      </c>
      <c r="H165" s="12" t="s">
        <v>287</v>
      </c>
      <c r="I165" s="12" t="s">
        <v>288</v>
      </c>
    </row>
    <row r="166" customFormat="false" ht="23.85" hidden="false" customHeight="false" outlineLevel="0" collapsed="false">
      <c r="A166" s="12" t="s">
        <v>109</v>
      </c>
      <c r="B166" s="12" t="s">
        <v>400</v>
      </c>
      <c r="C166" s="12" t="s">
        <v>282</v>
      </c>
      <c r="D166" s="12" t="s">
        <v>283</v>
      </c>
      <c r="E166" s="12" t="s">
        <v>611</v>
      </c>
      <c r="F166" s="12" t="s">
        <v>612</v>
      </c>
      <c r="G166" s="12" t="s">
        <v>293</v>
      </c>
      <c r="H166" s="12" t="s">
        <v>287</v>
      </c>
      <c r="I166" s="12" t="s">
        <v>288</v>
      </c>
    </row>
    <row r="167" customFormat="false" ht="23.85" hidden="false" customHeight="false" outlineLevel="0" collapsed="false">
      <c r="A167" s="12" t="s">
        <v>109</v>
      </c>
      <c r="B167" s="12" t="s">
        <v>400</v>
      </c>
      <c r="C167" s="12" t="s">
        <v>282</v>
      </c>
      <c r="D167" s="12" t="s">
        <v>283</v>
      </c>
      <c r="E167" s="12" t="s">
        <v>613</v>
      </c>
      <c r="F167" s="12" t="s">
        <v>614</v>
      </c>
      <c r="G167" s="12" t="s">
        <v>293</v>
      </c>
      <c r="H167" s="12" t="s">
        <v>287</v>
      </c>
      <c r="I167" s="12" t="s">
        <v>288</v>
      </c>
    </row>
    <row r="168" customFormat="false" ht="23.85" hidden="false" customHeight="false" outlineLevel="0" collapsed="false">
      <c r="A168" s="12" t="s">
        <v>109</v>
      </c>
      <c r="B168" s="12" t="s">
        <v>400</v>
      </c>
      <c r="C168" s="12" t="s">
        <v>282</v>
      </c>
      <c r="D168" s="12" t="s">
        <v>283</v>
      </c>
      <c r="E168" s="12" t="s">
        <v>615</v>
      </c>
      <c r="F168" s="12" t="s">
        <v>616</v>
      </c>
      <c r="G168" s="12" t="s">
        <v>293</v>
      </c>
      <c r="H168" s="12" t="s">
        <v>287</v>
      </c>
      <c r="I168" s="12" t="s">
        <v>288</v>
      </c>
    </row>
    <row r="169" customFormat="false" ht="23.85" hidden="false" customHeight="false" outlineLevel="0" collapsed="false">
      <c r="A169" s="12" t="s">
        <v>109</v>
      </c>
      <c r="B169" s="12" t="s">
        <v>400</v>
      </c>
      <c r="C169" s="12" t="s">
        <v>282</v>
      </c>
      <c r="D169" s="12" t="s">
        <v>283</v>
      </c>
      <c r="E169" s="12" t="s">
        <v>617</v>
      </c>
      <c r="F169" s="12" t="s">
        <v>618</v>
      </c>
      <c r="G169" s="12" t="s">
        <v>293</v>
      </c>
      <c r="H169" s="12" t="s">
        <v>287</v>
      </c>
      <c r="I169" s="12" t="s">
        <v>288</v>
      </c>
    </row>
    <row r="170" customFormat="false" ht="23.85" hidden="false" customHeight="false" outlineLevel="0" collapsed="false">
      <c r="A170" s="12" t="s">
        <v>109</v>
      </c>
      <c r="B170" s="12" t="s">
        <v>400</v>
      </c>
      <c r="C170" s="12" t="s">
        <v>282</v>
      </c>
      <c r="D170" s="12" t="s">
        <v>283</v>
      </c>
      <c r="E170" s="12" t="s">
        <v>619</v>
      </c>
      <c r="F170" s="12" t="s">
        <v>620</v>
      </c>
      <c r="G170" s="12" t="s">
        <v>286</v>
      </c>
      <c r="H170" s="12" t="s">
        <v>287</v>
      </c>
      <c r="I170" s="12" t="s">
        <v>288</v>
      </c>
    </row>
    <row r="171" customFormat="false" ht="23.85" hidden="false" customHeight="false" outlineLevel="0" collapsed="false">
      <c r="A171" s="12" t="s">
        <v>109</v>
      </c>
      <c r="B171" s="12" t="s">
        <v>400</v>
      </c>
      <c r="C171" s="12" t="s">
        <v>282</v>
      </c>
      <c r="D171" s="12" t="s">
        <v>283</v>
      </c>
      <c r="E171" s="12" t="s">
        <v>621</v>
      </c>
      <c r="F171" s="12" t="s">
        <v>622</v>
      </c>
      <c r="G171" s="12" t="s">
        <v>293</v>
      </c>
      <c r="H171" s="12" t="s">
        <v>287</v>
      </c>
      <c r="I171" s="12" t="s">
        <v>288</v>
      </c>
    </row>
    <row r="172" customFormat="false" ht="23.85" hidden="false" customHeight="false" outlineLevel="0" collapsed="false">
      <c r="A172" s="12" t="s">
        <v>109</v>
      </c>
      <c r="B172" s="12" t="s">
        <v>400</v>
      </c>
      <c r="C172" s="12" t="s">
        <v>282</v>
      </c>
      <c r="D172" s="12" t="s">
        <v>283</v>
      </c>
      <c r="E172" s="12" t="s">
        <v>623</v>
      </c>
      <c r="F172" s="12" t="s">
        <v>624</v>
      </c>
      <c r="G172" s="12" t="s">
        <v>293</v>
      </c>
      <c r="H172" s="12" t="s">
        <v>287</v>
      </c>
      <c r="I172" s="12" t="s">
        <v>288</v>
      </c>
    </row>
    <row r="173" customFormat="false" ht="23.85" hidden="false" customHeight="false" outlineLevel="0" collapsed="false">
      <c r="A173" s="12" t="s">
        <v>109</v>
      </c>
      <c r="B173" s="12" t="s">
        <v>400</v>
      </c>
      <c r="C173" s="12" t="s">
        <v>282</v>
      </c>
      <c r="D173" s="12" t="s">
        <v>283</v>
      </c>
      <c r="E173" s="12" t="s">
        <v>625</v>
      </c>
      <c r="F173" s="12" t="s">
        <v>626</v>
      </c>
      <c r="G173" s="12" t="s">
        <v>293</v>
      </c>
      <c r="H173" s="12" t="s">
        <v>287</v>
      </c>
      <c r="I173" s="12" t="s">
        <v>288</v>
      </c>
    </row>
    <row r="174" customFormat="false" ht="23.85" hidden="false" customHeight="false" outlineLevel="0" collapsed="false">
      <c r="A174" s="12" t="s">
        <v>109</v>
      </c>
      <c r="B174" s="12" t="s">
        <v>400</v>
      </c>
      <c r="C174" s="12" t="s">
        <v>282</v>
      </c>
      <c r="D174" s="12" t="s">
        <v>283</v>
      </c>
      <c r="E174" s="12" t="s">
        <v>627</v>
      </c>
      <c r="F174" s="12" t="s">
        <v>628</v>
      </c>
      <c r="G174" s="12" t="s">
        <v>293</v>
      </c>
      <c r="H174" s="12" t="s">
        <v>287</v>
      </c>
      <c r="I174" s="12" t="s">
        <v>288</v>
      </c>
    </row>
    <row r="175" customFormat="false" ht="23.85" hidden="false" customHeight="false" outlineLevel="0" collapsed="false">
      <c r="A175" s="12" t="s">
        <v>109</v>
      </c>
      <c r="B175" s="12" t="s">
        <v>400</v>
      </c>
      <c r="C175" s="12" t="s">
        <v>282</v>
      </c>
      <c r="D175" s="12" t="s">
        <v>283</v>
      </c>
      <c r="E175" s="12" t="s">
        <v>629</v>
      </c>
      <c r="F175" s="12" t="s">
        <v>630</v>
      </c>
      <c r="G175" s="12" t="s">
        <v>293</v>
      </c>
      <c r="H175" s="12" t="s">
        <v>287</v>
      </c>
      <c r="I175" s="12" t="s">
        <v>288</v>
      </c>
    </row>
    <row r="176" customFormat="false" ht="23.85" hidden="false" customHeight="false" outlineLevel="0" collapsed="false">
      <c r="A176" s="12" t="s">
        <v>109</v>
      </c>
      <c r="B176" s="12" t="s">
        <v>400</v>
      </c>
      <c r="C176" s="12" t="s">
        <v>282</v>
      </c>
      <c r="D176" s="12" t="s">
        <v>283</v>
      </c>
      <c r="E176" s="12" t="s">
        <v>631</v>
      </c>
      <c r="F176" s="12" t="s">
        <v>632</v>
      </c>
      <c r="G176" s="12" t="s">
        <v>286</v>
      </c>
      <c r="H176" s="12" t="s">
        <v>287</v>
      </c>
      <c r="I176" s="12" t="s">
        <v>288</v>
      </c>
    </row>
    <row r="177" customFormat="false" ht="23.85" hidden="false" customHeight="false" outlineLevel="0" collapsed="false">
      <c r="A177" s="12" t="s">
        <v>109</v>
      </c>
      <c r="B177" s="12" t="s">
        <v>400</v>
      </c>
      <c r="C177" s="12" t="s">
        <v>282</v>
      </c>
      <c r="D177" s="12" t="s">
        <v>283</v>
      </c>
      <c r="E177" s="12" t="s">
        <v>633</v>
      </c>
      <c r="F177" s="12" t="s">
        <v>634</v>
      </c>
      <c r="G177" s="12" t="s">
        <v>293</v>
      </c>
      <c r="H177" s="12" t="s">
        <v>287</v>
      </c>
      <c r="I177" s="12" t="s">
        <v>288</v>
      </c>
    </row>
    <row r="178" customFormat="false" ht="23.85" hidden="false" customHeight="false" outlineLevel="0" collapsed="false">
      <c r="A178" s="12" t="s">
        <v>109</v>
      </c>
      <c r="B178" s="12" t="s">
        <v>400</v>
      </c>
      <c r="C178" s="12" t="s">
        <v>282</v>
      </c>
      <c r="D178" s="12" t="s">
        <v>283</v>
      </c>
      <c r="E178" s="12" t="s">
        <v>635</v>
      </c>
      <c r="F178" s="12" t="s">
        <v>636</v>
      </c>
      <c r="G178" s="12" t="s">
        <v>286</v>
      </c>
      <c r="H178" s="12" t="s">
        <v>287</v>
      </c>
      <c r="I178" s="12" t="s">
        <v>288</v>
      </c>
    </row>
    <row r="179" customFormat="false" ht="23.85" hidden="false" customHeight="false" outlineLevel="0" collapsed="false">
      <c r="A179" s="12" t="s">
        <v>109</v>
      </c>
      <c r="B179" s="12" t="s">
        <v>400</v>
      </c>
      <c r="C179" s="12" t="s">
        <v>282</v>
      </c>
      <c r="D179" s="12" t="s">
        <v>283</v>
      </c>
      <c r="E179" s="12" t="s">
        <v>637</v>
      </c>
      <c r="F179" s="12" t="s">
        <v>638</v>
      </c>
      <c r="G179" s="12" t="s">
        <v>293</v>
      </c>
      <c r="H179" s="12" t="s">
        <v>287</v>
      </c>
      <c r="I179" s="12" t="s">
        <v>288</v>
      </c>
    </row>
    <row r="180" customFormat="false" ht="23.85" hidden="false" customHeight="false" outlineLevel="0" collapsed="false">
      <c r="A180" s="12" t="s">
        <v>109</v>
      </c>
      <c r="B180" s="12" t="s">
        <v>400</v>
      </c>
      <c r="C180" s="12" t="s">
        <v>282</v>
      </c>
      <c r="D180" s="12" t="s">
        <v>283</v>
      </c>
      <c r="E180" s="12" t="s">
        <v>639</v>
      </c>
      <c r="F180" s="12" t="s">
        <v>640</v>
      </c>
      <c r="G180" s="12" t="s">
        <v>293</v>
      </c>
      <c r="H180" s="12" t="s">
        <v>287</v>
      </c>
      <c r="I180" s="12" t="s">
        <v>288</v>
      </c>
    </row>
    <row r="181" customFormat="false" ht="23.85" hidden="false" customHeight="false" outlineLevel="0" collapsed="false">
      <c r="A181" s="12" t="s">
        <v>109</v>
      </c>
      <c r="B181" s="12" t="s">
        <v>400</v>
      </c>
      <c r="C181" s="12" t="s">
        <v>282</v>
      </c>
      <c r="D181" s="12" t="s">
        <v>283</v>
      </c>
      <c r="E181" s="12" t="s">
        <v>641</v>
      </c>
      <c r="F181" s="12" t="s">
        <v>642</v>
      </c>
      <c r="G181" s="12" t="s">
        <v>293</v>
      </c>
      <c r="H181" s="12" t="s">
        <v>287</v>
      </c>
      <c r="I181" s="12" t="s">
        <v>288</v>
      </c>
    </row>
    <row r="182" customFormat="false" ht="23.85" hidden="false" customHeight="false" outlineLevel="0" collapsed="false">
      <c r="A182" s="12" t="s">
        <v>109</v>
      </c>
      <c r="B182" s="12" t="s">
        <v>400</v>
      </c>
      <c r="C182" s="12" t="s">
        <v>282</v>
      </c>
      <c r="D182" s="12" t="s">
        <v>283</v>
      </c>
      <c r="E182" s="12" t="s">
        <v>643</v>
      </c>
      <c r="F182" s="12" t="s">
        <v>644</v>
      </c>
      <c r="G182" s="12" t="s">
        <v>293</v>
      </c>
      <c r="H182" s="12" t="s">
        <v>287</v>
      </c>
      <c r="I182" s="12" t="s">
        <v>288</v>
      </c>
    </row>
    <row r="183" customFormat="false" ht="23.85" hidden="false" customHeight="false" outlineLevel="0" collapsed="false">
      <c r="A183" s="12" t="s">
        <v>109</v>
      </c>
      <c r="B183" s="12" t="s">
        <v>400</v>
      </c>
      <c r="C183" s="12" t="s">
        <v>282</v>
      </c>
      <c r="D183" s="12" t="s">
        <v>283</v>
      </c>
      <c r="E183" s="12" t="s">
        <v>645</v>
      </c>
      <c r="F183" s="12" t="s">
        <v>646</v>
      </c>
      <c r="G183" s="12" t="s">
        <v>286</v>
      </c>
      <c r="H183" s="12" t="s">
        <v>287</v>
      </c>
      <c r="I183" s="12" t="s">
        <v>288</v>
      </c>
    </row>
    <row r="184" customFormat="false" ht="23.85" hidden="false" customHeight="false" outlineLevel="0" collapsed="false">
      <c r="A184" s="12" t="s">
        <v>109</v>
      </c>
      <c r="B184" s="12" t="s">
        <v>400</v>
      </c>
      <c r="C184" s="12" t="s">
        <v>282</v>
      </c>
      <c r="D184" s="12" t="s">
        <v>283</v>
      </c>
      <c r="E184" s="12" t="s">
        <v>647</v>
      </c>
      <c r="F184" s="12" t="s">
        <v>648</v>
      </c>
      <c r="G184" s="12" t="s">
        <v>293</v>
      </c>
      <c r="H184" s="12" t="s">
        <v>287</v>
      </c>
      <c r="I184" s="12" t="s">
        <v>288</v>
      </c>
    </row>
    <row r="185" customFormat="false" ht="23.85" hidden="false" customHeight="false" outlineLevel="0" collapsed="false">
      <c r="A185" s="12" t="s">
        <v>109</v>
      </c>
      <c r="B185" s="12" t="s">
        <v>400</v>
      </c>
      <c r="C185" s="12" t="s">
        <v>282</v>
      </c>
      <c r="D185" s="12" t="s">
        <v>283</v>
      </c>
      <c r="E185" s="12" t="s">
        <v>649</v>
      </c>
      <c r="F185" s="12" t="s">
        <v>650</v>
      </c>
      <c r="G185" s="12" t="s">
        <v>293</v>
      </c>
      <c r="H185" s="12" t="s">
        <v>287</v>
      </c>
      <c r="I185" s="12" t="s">
        <v>288</v>
      </c>
    </row>
    <row r="186" customFormat="false" ht="23.85" hidden="false" customHeight="false" outlineLevel="0" collapsed="false">
      <c r="A186" s="12" t="s">
        <v>109</v>
      </c>
      <c r="B186" s="12" t="s">
        <v>400</v>
      </c>
      <c r="C186" s="12" t="s">
        <v>282</v>
      </c>
      <c r="D186" s="12" t="s">
        <v>283</v>
      </c>
      <c r="E186" s="12" t="s">
        <v>651</v>
      </c>
      <c r="F186" s="12" t="s">
        <v>652</v>
      </c>
      <c r="G186" s="12" t="s">
        <v>293</v>
      </c>
      <c r="H186" s="12" t="s">
        <v>287</v>
      </c>
      <c r="I186" s="12" t="s">
        <v>288</v>
      </c>
    </row>
    <row r="187" customFormat="false" ht="23.85" hidden="false" customHeight="false" outlineLevel="0" collapsed="false">
      <c r="A187" s="12" t="s">
        <v>109</v>
      </c>
      <c r="B187" s="12" t="s">
        <v>400</v>
      </c>
      <c r="C187" s="12" t="s">
        <v>282</v>
      </c>
      <c r="D187" s="12" t="s">
        <v>283</v>
      </c>
      <c r="E187" s="12" t="s">
        <v>653</v>
      </c>
      <c r="F187" s="12" t="s">
        <v>654</v>
      </c>
      <c r="G187" s="12" t="s">
        <v>293</v>
      </c>
      <c r="H187" s="12" t="s">
        <v>287</v>
      </c>
      <c r="I187" s="12" t="s">
        <v>288</v>
      </c>
    </row>
    <row r="188" customFormat="false" ht="23.85" hidden="false" customHeight="false" outlineLevel="0" collapsed="false">
      <c r="A188" s="12" t="s">
        <v>109</v>
      </c>
      <c r="B188" s="12" t="s">
        <v>400</v>
      </c>
      <c r="C188" s="12" t="s">
        <v>282</v>
      </c>
      <c r="D188" s="12" t="s">
        <v>283</v>
      </c>
      <c r="E188" s="12" t="s">
        <v>655</v>
      </c>
      <c r="F188" s="12" t="s">
        <v>656</v>
      </c>
      <c r="G188" s="12" t="s">
        <v>286</v>
      </c>
      <c r="H188" s="12" t="s">
        <v>287</v>
      </c>
      <c r="I188" s="12" t="s">
        <v>288</v>
      </c>
    </row>
    <row r="189" customFormat="false" ht="23.85" hidden="false" customHeight="false" outlineLevel="0" collapsed="false">
      <c r="A189" s="12" t="s">
        <v>109</v>
      </c>
      <c r="B189" s="12" t="s">
        <v>400</v>
      </c>
      <c r="C189" s="12" t="s">
        <v>282</v>
      </c>
      <c r="D189" s="12" t="s">
        <v>283</v>
      </c>
      <c r="E189" s="12" t="s">
        <v>657</v>
      </c>
      <c r="F189" s="12" t="s">
        <v>658</v>
      </c>
      <c r="G189" s="12" t="s">
        <v>293</v>
      </c>
      <c r="H189" s="12" t="s">
        <v>287</v>
      </c>
      <c r="I189" s="12" t="s">
        <v>288</v>
      </c>
    </row>
    <row r="190" customFormat="false" ht="23.85" hidden="false" customHeight="false" outlineLevel="0" collapsed="false">
      <c r="A190" s="12" t="s">
        <v>109</v>
      </c>
      <c r="B190" s="12" t="s">
        <v>400</v>
      </c>
      <c r="C190" s="12" t="s">
        <v>282</v>
      </c>
      <c r="D190" s="12" t="s">
        <v>283</v>
      </c>
      <c r="E190" s="12" t="s">
        <v>659</v>
      </c>
      <c r="F190" s="12" t="s">
        <v>660</v>
      </c>
      <c r="G190" s="12" t="s">
        <v>293</v>
      </c>
      <c r="H190" s="12" t="s">
        <v>287</v>
      </c>
      <c r="I190" s="12" t="s">
        <v>288</v>
      </c>
    </row>
    <row r="191" customFormat="false" ht="23.85" hidden="false" customHeight="false" outlineLevel="0" collapsed="false">
      <c r="A191" s="12" t="s">
        <v>109</v>
      </c>
      <c r="B191" s="12" t="s">
        <v>400</v>
      </c>
      <c r="C191" s="12" t="s">
        <v>282</v>
      </c>
      <c r="D191" s="12" t="s">
        <v>283</v>
      </c>
      <c r="E191" s="12" t="s">
        <v>661</v>
      </c>
      <c r="F191" s="12" t="s">
        <v>662</v>
      </c>
      <c r="G191" s="12" t="s">
        <v>293</v>
      </c>
      <c r="H191" s="12" t="s">
        <v>287</v>
      </c>
      <c r="I191" s="12" t="s">
        <v>288</v>
      </c>
    </row>
    <row r="192" customFormat="false" ht="23.85" hidden="false" customHeight="false" outlineLevel="0" collapsed="false">
      <c r="A192" s="12" t="s">
        <v>109</v>
      </c>
      <c r="B192" s="12" t="s">
        <v>400</v>
      </c>
      <c r="C192" s="12" t="s">
        <v>282</v>
      </c>
      <c r="D192" s="12" t="s">
        <v>283</v>
      </c>
      <c r="E192" s="12" t="s">
        <v>663</v>
      </c>
      <c r="F192" s="12" t="s">
        <v>664</v>
      </c>
      <c r="G192" s="12" t="s">
        <v>293</v>
      </c>
      <c r="H192" s="12" t="s">
        <v>287</v>
      </c>
      <c r="I192" s="12" t="s">
        <v>288</v>
      </c>
    </row>
    <row r="193" customFormat="false" ht="23.85" hidden="false" customHeight="false" outlineLevel="0" collapsed="false">
      <c r="A193" s="12" t="s">
        <v>109</v>
      </c>
      <c r="B193" s="12" t="s">
        <v>400</v>
      </c>
      <c r="C193" s="12" t="s">
        <v>282</v>
      </c>
      <c r="D193" s="12" t="s">
        <v>283</v>
      </c>
      <c r="E193" s="12" t="s">
        <v>665</v>
      </c>
      <c r="F193" s="12" t="s">
        <v>666</v>
      </c>
      <c r="G193" s="12" t="s">
        <v>286</v>
      </c>
      <c r="H193" s="12" t="s">
        <v>287</v>
      </c>
      <c r="I193" s="12" t="s">
        <v>288</v>
      </c>
    </row>
    <row r="194" customFormat="false" ht="23.85" hidden="false" customHeight="false" outlineLevel="0" collapsed="false">
      <c r="A194" s="12" t="s">
        <v>109</v>
      </c>
      <c r="B194" s="12" t="s">
        <v>400</v>
      </c>
      <c r="C194" s="12" t="s">
        <v>282</v>
      </c>
      <c r="D194" s="12" t="s">
        <v>283</v>
      </c>
      <c r="E194" s="12" t="s">
        <v>667</v>
      </c>
      <c r="F194" s="12" t="s">
        <v>668</v>
      </c>
      <c r="G194" s="12" t="s">
        <v>293</v>
      </c>
      <c r="H194" s="12" t="s">
        <v>287</v>
      </c>
      <c r="I194" s="12" t="s">
        <v>288</v>
      </c>
    </row>
    <row r="195" customFormat="false" ht="23.85" hidden="false" customHeight="false" outlineLevel="0" collapsed="false">
      <c r="A195" s="12" t="s">
        <v>109</v>
      </c>
      <c r="B195" s="12" t="s">
        <v>400</v>
      </c>
      <c r="C195" s="12" t="s">
        <v>282</v>
      </c>
      <c r="D195" s="12" t="s">
        <v>283</v>
      </c>
      <c r="E195" s="12" t="s">
        <v>669</v>
      </c>
      <c r="F195" s="12" t="s">
        <v>670</v>
      </c>
      <c r="G195" s="12" t="s">
        <v>293</v>
      </c>
      <c r="H195" s="12" t="s">
        <v>287</v>
      </c>
      <c r="I195" s="12" t="s">
        <v>288</v>
      </c>
    </row>
    <row r="196" customFormat="false" ht="23.85" hidden="false" customHeight="false" outlineLevel="0" collapsed="false">
      <c r="A196" s="12" t="s">
        <v>109</v>
      </c>
      <c r="B196" s="12" t="s">
        <v>400</v>
      </c>
      <c r="C196" s="12" t="s">
        <v>282</v>
      </c>
      <c r="D196" s="12" t="s">
        <v>283</v>
      </c>
      <c r="E196" s="12" t="s">
        <v>671</v>
      </c>
      <c r="F196" s="12" t="s">
        <v>672</v>
      </c>
      <c r="G196" s="12" t="s">
        <v>293</v>
      </c>
      <c r="H196" s="12" t="s">
        <v>287</v>
      </c>
      <c r="I196" s="12" t="s">
        <v>288</v>
      </c>
    </row>
    <row r="197" customFormat="false" ht="23.85" hidden="false" customHeight="false" outlineLevel="0" collapsed="false">
      <c r="A197" s="12" t="s">
        <v>109</v>
      </c>
      <c r="B197" s="12" t="s">
        <v>400</v>
      </c>
      <c r="C197" s="12" t="s">
        <v>282</v>
      </c>
      <c r="D197" s="12" t="s">
        <v>283</v>
      </c>
      <c r="E197" s="12" t="s">
        <v>673</v>
      </c>
      <c r="F197" s="12" t="s">
        <v>674</v>
      </c>
      <c r="G197" s="12" t="s">
        <v>293</v>
      </c>
      <c r="H197" s="12" t="s">
        <v>287</v>
      </c>
      <c r="I197" s="12" t="s">
        <v>288</v>
      </c>
    </row>
    <row r="198" customFormat="false" ht="23.85" hidden="false" customHeight="false" outlineLevel="0" collapsed="false">
      <c r="A198" s="12" t="s">
        <v>109</v>
      </c>
      <c r="B198" s="12" t="s">
        <v>400</v>
      </c>
      <c r="C198" s="12" t="s">
        <v>282</v>
      </c>
      <c r="D198" s="12" t="s">
        <v>283</v>
      </c>
      <c r="E198" s="12" t="s">
        <v>675</v>
      </c>
      <c r="F198" s="12" t="s">
        <v>676</v>
      </c>
      <c r="G198" s="12" t="s">
        <v>293</v>
      </c>
      <c r="H198" s="12" t="s">
        <v>287</v>
      </c>
      <c r="I198" s="12" t="s">
        <v>288</v>
      </c>
    </row>
    <row r="199" customFormat="false" ht="23.85" hidden="false" customHeight="false" outlineLevel="0" collapsed="false">
      <c r="A199" s="12" t="s">
        <v>109</v>
      </c>
      <c r="B199" s="12" t="s">
        <v>400</v>
      </c>
      <c r="C199" s="12" t="s">
        <v>282</v>
      </c>
      <c r="D199" s="12" t="s">
        <v>283</v>
      </c>
      <c r="E199" s="12" t="s">
        <v>677</v>
      </c>
      <c r="F199" s="12" t="s">
        <v>678</v>
      </c>
      <c r="G199" s="12" t="s">
        <v>286</v>
      </c>
      <c r="H199" s="12" t="s">
        <v>287</v>
      </c>
      <c r="I199" s="12" t="s">
        <v>288</v>
      </c>
    </row>
    <row r="200" customFormat="false" ht="23.85" hidden="false" customHeight="false" outlineLevel="0" collapsed="false">
      <c r="A200" s="12" t="s">
        <v>109</v>
      </c>
      <c r="B200" s="12" t="s">
        <v>400</v>
      </c>
      <c r="C200" s="12" t="s">
        <v>282</v>
      </c>
      <c r="D200" s="12" t="s">
        <v>283</v>
      </c>
      <c r="E200" s="12" t="s">
        <v>679</v>
      </c>
      <c r="F200" s="12" t="s">
        <v>680</v>
      </c>
      <c r="G200" s="12" t="s">
        <v>293</v>
      </c>
      <c r="H200" s="12" t="s">
        <v>287</v>
      </c>
      <c r="I200" s="12" t="s">
        <v>288</v>
      </c>
    </row>
    <row r="201" customFormat="false" ht="23.85" hidden="false" customHeight="false" outlineLevel="0" collapsed="false">
      <c r="A201" s="12" t="s">
        <v>109</v>
      </c>
      <c r="B201" s="12" t="s">
        <v>400</v>
      </c>
      <c r="C201" s="12" t="s">
        <v>282</v>
      </c>
      <c r="D201" s="12" t="s">
        <v>283</v>
      </c>
      <c r="E201" s="12" t="s">
        <v>681</v>
      </c>
      <c r="F201" s="12" t="s">
        <v>682</v>
      </c>
      <c r="G201" s="12" t="s">
        <v>286</v>
      </c>
      <c r="H201" s="12" t="s">
        <v>287</v>
      </c>
      <c r="I201" s="12" t="s">
        <v>288</v>
      </c>
    </row>
    <row r="202" customFormat="false" ht="23.85" hidden="false" customHeight="false" outlineLevel="0" collapsed="false">
      <c r="A202" s="12" t="s">
        <v>109</v>
      </c>
      <c r="B202" s="12" t="s">
        <v>400</v>
      </c>
      <c r="C202" s="12" t="s">
        <v>282</v>
      </c>
      <c r="D202" s="12" t="s">
        <v>283</v>
      </c>
      <c r="E202" s="12" t="s">
        <v>683</v>
      </c>
      <c r="F202" s="12" t="s">
        <v>684</v>
      </c>
      <c r="G202" s="12" t="s">
        <v>293</v>
      </c>
      <c r="H202" s="12" t="s">
        <v>287</v>
      </c>
      <c r="I202" s="12" t="s">
        <v>288</v>
      </c>
    </row>
    <row r="203" customFormat="false" ht="23.85" hidden="false" customHeight="false" outlineLevel="0" collapsed="false">
      <c r="A203" s="12" t="s">
        <v>109</v>
      </c>
      <c r="B203" s="12" t="s">
        <v>400</v>
      </c>
      <c r="C203" s="12" t="s">
        <v>282</v>
      </c>
      <c r="D203" s="12" t="s">
        <v>283</v>
      </c>
      <c r="E203" s="12" t="s">
        <v>685</v>
      </c>
      <c r="F203" s="12" t="s">
        <v>686</v>
      </c>
      <c r="G203" s="12" t="s">
        <v>293</v>
      </c>
      <c r="H203" s="12" t="s">
        <v>287</v>
      </c>
      <c r="I203" s="12" t="s">
        <v>288</v>
      </c>
    </row>
    <row r="204" customFormat="false" ht="23.85" hidden="false" customHeight="false" outlineLevel="0" collapsed="false">
      <c r="A204" s="12" t="s">
        <v>109</v>
      </c>
      <c r="B204" s="12" t="s">
        <v>400</v>
      </c>
      <c r="C204" s="12" t="s">
        <v>282</v>
      </c>
      <c r="D204" s="12" t="s">
        <v>283</v>
      </c>
      <c r="E204" s="12" t="s">
        <v>687</v>
      </c>
      <c r="F204" s="12" t="s">
        <v>688</v>
      </c>
      <c r="G204" s="12" t="s">
        <v>293</v>
      </c>
      <c r="H204" s="12" t="s">
        <v>287</v>
      </c>
      <c r="I204" s="12" t="s">
        <v>288</v>
      </c>
    </row>
    <row r="205" customFormat="false" ht="23.85" hidden="false" customHeight="false" outlineLevel="0" collapsed="false">
      <c r="A205" s="12" t="s">
        <v>109</v>
      </c>
      <c r="B205" s="12" t="s">
        <v>400</v>
      </c>
      <c r="C205" s="12" t="s">
        <v>282</v>
      </c>
      <c r="D205" s="12" t="s">
        <v>283</v>
      </c>
      <c r="E205" s="12" t="s">
        <v>689</v>
      </c>
      <c r="F205" s="12" t="s">
        <v>690</v>
      </c>
      <c r="G205" s="12" t="s">
        <v>293</v>
      </c>
      <c r="H205" s="12" t="s">
        <v>287</v>
      </c>
      <c r="I205" s="12" t="s">
        <v>288</v>
      </c>
    </row>
    <row r="206" customFormat="false" ht="23.85" hidden="false" customHeight="false" outlineLevel="0" collapsed="false">
      <c r="A206" s="12" t="s">
        <v>109</v>
      </c>
      <c r="B206" s="12" t="s">
        <v>400</v>
      </c>
      <c r="C206" s="12" t="s">
        <v>282</v>
      </c>
      <c r="D206" s="12" t="s">
        <v>283</v>
      </c>
      <c r="E206" s="12" t="s">
        <v>691</v>
      </c>
      <c r="F206" s="12" t="s">
        <v>692</v>
      </c>
      <c r="G206" s="12" t="s">
        <v>286</v>
      </c>
      <c r="H206" s="12" t="s">
        <v>287</v>
      </c>
      <c r="I206" s="12" t="s">
        <v>288</v>
      </c>
    </row>
    <row r="207" customFormat="false" ht="23.85" hidden="false" customHeight="false" outlineLevel="0" collapsed="false">
      <c r="A207" s="12" t="s">
        <v>109</v>
      </c>
      <c r="B207" s="12" t="s">
        <v>400</v>
      </c>
      <c r="C207" s="12" t="s">
        <v>282</v>
      </c>
      <c r="D207" s="12" t="s">
        <v>283</v>
      </c>
      <c r="E207" s="12" t="s">
        <v>693</v>
      </c>
      <c r="F207" s="12" t="s">
        <v>694</v>
      </c>
      <c r="G207" s="12" t="s">
        <v>293</v>
      </c>
      <c r="H207" s="12" t="s">
        <v>287</v>
      </c>
      <c r="I207" s="12" t="s">
        <v>288</v>
      </c>
    </row>
    <row r="208" customFormat="false" ht="23.85" hidden="false" customHeight="false" outlineLevel="0" collapsed="false">
      <c r="A208" s="12" t="s">
        <v>109</v>
      </c>
      <c r="B208" s="12" t="s">
        <v>400</v>
      </c>
      <c r="C208" s="12" t="s">
        <v>282</v>
      </c>
      <c r="D208" s="12" t="s">
        <v>283</v>
      </c>
      <c r="E208" s="12" t="s">
        <v>695</v>
      </c>
      <c r="F208" s="12" t="s">
        <v>696</v>
      </c>
      <c r="G208" s="12" t="s">
        <v>293</v>
      </c>
      <c r="H208" s="12" t="s">
        <v>287</v>
      </c>
      <c r="I208" s="12" t="s">
        <v>288</v>
      </c>
    </row>
    <row r="209" customFormat="false" ht="23.85" hidden="false" customHeight="false" outlineLevel="0" collapsed="false">
      <c r="A209" s="12" t="s">
        <v>109</v>
      </c>
      <c r="B209" s="12" t="s">
        <v>400</v>
      </c>
      <c r="C209" s="12" t="s">
        <v>282</v>
      </c>
      <c r="D209" s="12" t="s">
        <v>283</v>
      </c>
      <c r="E209" s="12" t="s">
        <v>697</v>
      </c>
      <c r="F209" s="12" t="s">
        <v>698</v>
      </c>
      <c r="G209" s="12" t="s">
        <v>293</v>
      </c>
      <c r="H209" s="12" t="s">
        <v>287</v>
      </c>
      <c r="I209" s="12" t="s">
        <v>288</v>
      </c>
    </row>
    <row r="210" customFormat="false" ht="23.85" hidden="false" customHeight="false" outlineLevel="0" collapsed="false">
      <c r="A210" s="12" t="s">
        <v>109</v>
      </c>
      <c r="B210" s="12" t="s">
        <v>400</v>
      </c>
      <c r="C210" s="12" t="s">
        <v>282</v>
      </c>
      <c r="D210" s="12" t="s">
        <v>283</v>
      </c>
      <c r="E210" s="12" t="s">
        <v>699</v>
      </c>
      <c r="F210" s="12" t="s">
        <v>700</v>
      </c>
      <c r="G210" s="12" t="s">
        <v>293</v>
      </c>
      <c r="H210" s="12" t="s">
        <v>287</v>
      </c>
      <c r="I210" s="12" t="s">
        <v>288</v>
      </c>
    </row>
    <row r="211" customFormat="false" ht="23.85" hidden="false" customHeight="false" outlineLevel="0" collapsed="false">
      <c r="A211" s="12" t="s">
        <v>109</v>
      </c>
      <c r="B211" s="12" t="s">
        <v>400</v>
      </c>
      <c r="C211" s="12" t="s">
        <v>282</v>
      </c>
      <c r="D211" s="12" t="s">
        <v>283</v>
      </c>
      <c r="E211" s="12" t="s">
        <v>701</v>
      </c>
      <c r="F211" s="12" t="s">
        <v>702</v>
      </c>
      <c r="G211" s="12" t="s">
        <v>286</v>
      </c>
      <c r="H211" s="12" t="s">
        <v>287</v>
      </c>
      <c r="I211" s="12" t="s">
        <v>288</v>
      </c>
    </row>
    <row r="212" customFormat="false" ht="23.85" hidden="false" customHeight="false" outlineLevel="0" collapsed="false">
      <c r="A212" s="12" t="s">
        <v>109</v>
      </c>
      <c r="B212" s="12" t="s">
        <v>400</v>
      </c>
      <c r="C212" s="12" t="s">
        <v>282</v>
      </c>
      <c r="D212" s="12" t="s">
        <v>283</v>
      </c>
      <c r="E212" s="12" t="s">
        <v>703</v>
      </c>
      <c r="F212" s="12" t="s">
        <v>704</v>
      </c>
      <c r="G212" s="12" t="s">
        <v>293</v>
      </c>
      <c r="H212" s="12" t="s">
        <v>287</v>
      </c>
      <c r="I212" s="12" t="s">
        <v>288</v>
      </c>
    </row>
    <row r="213" customFormat="false" ht="23.85" hidden="false" customHeight="false" outlineLevel="0" collapsed="false">
      <c r="A213" s="12" t="s">
        <v>109</v>
      </c>
      <c r="B213" s="12" t="s">
        <v>400</v>
      </c>
      <c r="C213" s="12" t="s">
        <v>282</v>
      </c>
      <c r="D213" s="12" t="s">
        <v>283</v>
      </c>
      <c r="E213" s="12" t="s">
        <v>705</v>
      </c>
      <c r="F213" s="12" t="s">
        <v>706</v>
      </c>
      <c r="G213" s="12" t="s">
        <v>293</v>
      </c>
      <c r="H213" s="12" t="s">
        <v>287</v>
      </c>
      <c r="I213" s="12" t="s">
        <v>288</v>
      </c>
    </row>
    <row r="214" customFormat="false" ht="23.85" hidden="false" customHeight="false" outlineLevel="0" collapsed="false">
      <c r="A214" s="12" t="s">
        <v>109</v>
      </c>
      <c r="B214" s="12" t="s">
        <v>400</v>
      </c>
      <c r="C214" s="12" t="s">
        <v>282</v>
      </c>
      <c r="D214" s="12" t="s">
        <v>283</v>
      </c>
      <c r="E214" s="12" t="s">
        <v>707</v>
      </c>
      <c r="F214" s="12" t="s">
        <v>708</v>
      </c>
      <c r="G214" s="12" t="s">
        <v>293</v>
      </c>
      <c r="H214" s="12" t="s">
        <v>287</v>
      </c>
      <c r="I214" s="12" t="s">
        <v>288</v>
      </c>
    </row>
    <row r="215" customFormat="false" ht="23.85" hidden="false" customHeight="false" outlineLevel="0" collapsed="false">
      <c r="A215" s="12" t="s">
        <v>109</v>
      </c>
      <c r="B215" s="12" t="s">
        <v>400</v>
      </c>
      <c r="C215" s="12" t="s">
        <v>282</v>
      </c>
      <c r="D215" s="12" t="s">
        <v>283</v>
      </c>
      <c r="E215" s="12" t="s">
        <v>709</v>
      </c>
      <c r="F215" s="12" t="s">
        <v>710</v>
      </c>
      <c r="G215" s="12" t="s">
        <v>293</v>
      </c>
      <c r="H215" s="12" t="s">
        <v>287</v>
      </c>
      <c r="I215" s="12" t="s">
        <v>288</v>
      </c>
    </row>
    <row r="216" customFormat="false" ht="23.85" hidden="false" customHeight="false" outlineLevel="0" collapsed="false">
      <c r="A216" s="12" t="s">
        <v>109</v>
      </c>
      <c r="B216" s="12" t="s">
        <v>400</v>
      </c>
      <c r="C216" s="12" t="s">
        <v>282</v>
      </c>
      <c r="D216" s="12" t="s">
        <v>283</v>
      </c>
      <c r="E216" s="12" t="s">
        <v>711</v>
      </c>
      <c r="F216" s="12" t="s">
        <v>712</v>
      </c>
      <c r="G216" s="12" t="s">
        <v>286</v>
      </c>
      <c r="H216" s="12" t="s">
        <v>287</v>
      </c>
      <c r="I216" s="12" t="s">
        <v>288</v>
      </c>
    </row>
    <row r="217" customFormat="false" ht="23.85" hidden="false" customHeight="false" outlineLevel="0" collapsed="false">
      <c r="A217" s="12" t="s">
        <v>109</v>
      </c>
      <c r="B217" s="12" t="s">
        <v>400</v>
      </c>
      <c r="C217" s="12" t="s">
        <v>282</v>
      </c>
      <c r="D217" s="12" t="s">
        <v>283</v>
      </c>
      <c r="E217" s="12" t="s">
        <v>713</v>
      </c>
      <c r="F217" s="12" t="s">
        <v>714</v>
      </c>
      <c r="G217" s="12" t="s">
        <v>293</v>
      </c>
      <c r="H217" s="12" t="s">
        <v>287</v>
      </c>
      <c r="I217" s="12" t="s">
        <v>288</v>
      </c>
    </row>
    <row r="218" customFormat="false" ht="23.85" hidden="false" customHeight="false" outlineLevel="0" collapsed="false">
      <c r="A218" s="12" t="s">
        <v>109</v>
      </c>
      <c r="B218" s="12" t="s">
        <v>400</v>
      </c>
      <c r="C218" s="12" t="s">
        <v>282</v>
      </c>
      <c r="D218" s="12" t="s">
        <v>283</v>
      </c>
      <c r="E218" s="12" t="s">
        <v>715</v>
      </c>
      <c r="F218" s="12" t="s">
        <v>716</v>
      </c>
      <c r="G218" s="12" t="s">
        <v>293</v>
      </c>
      <c r="H218" s="12" t="s">
        <v>287</v>
      </c>
      <c r="I218" s="12" t="s">
        <v>288</v>
      </c>
    </row>
    <row r="219" customFormat="false" ht="23.85" hidden="false" customHeight="false" outlineLevel="0" collapsed="false">
      <c r="A219" s="12" t="s">
        <v>109</v>
      </c>
      <c r="B219" s="12" t="s">
        <v>400</v>
      </c>
      <c r="C219" s="12" t="s">
        <v>282</v>
      </c>
      <c r="D219" s="12" t="s">
        <v>283</v>
      </c>
      <c r="E219" s="12" t="s">
        <v>717</v>
      </c>
      <c r="F219" s="12" t="s">
        <v>718</v>
      </c>
      <c r="G219" s="12" t="s">
        <v>293</v>
      </c>
      <c r="H219" s="12" t="s">
        <v>287</v>
      </c>
      <c r="I219" s="12" t="s">
        <v>288</v>
      </c>
    </row>
    <row r="220" customFormat="false" ht="23.85" hidden="false" customHeight="false" outlineLevel="0" collapsed="false">
      <c r="A220" s="12" t="s">
        <v>109</v>
      </c>
      <c r="B220" s="12" t="s">
        <v>400</v>
      </c>
      <c r="C220" s="12" t="s">
        <v>282</v>
      </c>
      <c r="D220" s="12" t="s">
        <v>283</v>
      </c>
      <c r="E220" s="12" t="s">
        <v>719</v>
      </c>
      <c r="F220" s="12" t="s">
        <v>720</v>
      </c>
      <c r="G220" s="12" t="s">
        <v>293</v>
      </c>
      <c r="H220" s="12" t="s">
        <v>287</v>
      </c>
      <c r="I220" s="12" t="s">
        <v>288</v>
      </c>
    </row>
    <row r="221" customFormat="false" ht="23.85" hidden="false" customHeight="false" outlineLevel="0" collapsed="false">
      <c r="A221" s="12" t="s">
        <v>109</v>
      </c>
      <c r="B221" s="12" t="s">
        <v>400</v>
      </c>
      <c r="C221" s="12" t="s">
        <v>282</v>
      </c>
      <c r="D221" s="12" t="s">
        <v>283</v>
      </c>
      <c r="E221" s="12" t="s">
        <v>721</v>
      </c>
      <c r="F221" s="12" t="s">
        <v>722</v>
      </c>
      <c r="G221" s="12" t="s">
        <v>293</v>
      </c>
      <c r="H221" s="12" t="s">
        <v>287</v>
      </c>
      <c r="I221" s="12" t="s">
        <v>288</v>
      </c>
    </row>
    <row r="222" customFormat="false" ht="23.85" hidden="false" customHeight="false" outlineLevel="0" collapsed="false">
      <c r="A222" s="12" t="s">
        <v>109</v>
      </c>
      <c r="B222" s="12" t="s">
        <v>400</v>
      </c>
      <c r="C222" s="12" t="s">
        <v>282</v>
      </c>
      <c r="D222" s="12" t="s">
        <v>283</v>
      </c>
      <c r="E222" s="12" t="s">
        <v>723</v>
      </c>
      <c r="F222" s="12" t="s">
        <v>724</v>
      </c>
      <c r="G222" s="12" t="s">
        <v>293</v>
      </c>
      <c r="H222" s="12" t="s">
        <v>287</v>
      </c>
      <c r="I222" s="12" t="s">
        <v>288</v>
      </c>
    </row>
    <row r="223" customFormat="false" ht="23.85" hidden="false" customHeight="false" outlineLevel="0" collapsed="false">
      <c r="A223" s="12" t="s">
        <v>109</v>
      </c>
      <c r="B223" s="12" t="s">
        <v>400</v>
      </c>
      <c r="C223" s="12" t="s">
        <v>282</v>
      </c>
      <c r="D223" s="12" t="s">
        <v>283</v>
      </c>
      <c r="E223" s="12" t="s">
        <v>725</v>
      </c>
      <c r="F223" s="12" t="s">
        <v>726</v>
      </c>
      <c r="G223" s="12" t="s">
        <v>286</v>
      </c>
      <c r="H223" s="12" t="s">
        <v>287</v>
      </c>
      <c r="I223" s="12" t="s">
        <v>288</v>
      </c>
    </row>
    <row r="224" customFormat="false" ht="23.85" hidden="false" customHeight="false" outlineLevel="0" collapsed="false">
      <c r="A224" s="12" t="s">
        <v>109</v>
      </c>
      <c r="B224" s="12" t="s">
        <v>400</v>
      </c>
      <c r="C224" s="12" t="s">
        <v>282</v>
      </c>
      <c r="D224" s="12" t="s">
        <v>283</v>
      </c>
      <c r="E224" s="12" t="s">
        <v>727</v>
      </c>
      <c r="F224" s="12" t="s">
        <v>728</v>
      </c>
      <c r="G224" s="12" t="s">
        <v>293</v>
      </c>
      <c r="H224" s="12" t="s">
        <v>287</v>
      </c>
      <c r="I224" s="12" t="s">
        <v>288</v>
      </c>
    </row>
    <row r="225" customFormat="false" ht="23.85" hidden="false" customHeight="false" outlineLevel="0" collapsed="false">
      <c r="A225" s="12" t="s">
        <v>109</v>
      </c>
      <c r="B225" s="12" t="s">
        <v>400</v>
      </c>
      <c r="C225" s="12" t="s">
        <v>282</v>
      </c>
      <c r="D225" s="12" t="s">
        <v>283</v>
      </c>
      <c r="E225" s="12" t="s">
        <v>729</v>
      </c>
      <c r="F225" s="12" t="s">
        <v>726</v>
      </c>
      <c r="G225" s="12" t="s">
        <v>293</v>
      </c>
      <c r="H225" s="12" t="s">
        <v>287</v>
      </c>
      <c r="I225" s="12" t="s">
        <v>288</v>
      </c>
    </row>
    <row r="226" customFormat="false" ht="23.85" hidden="false" customHeight="false" outlineLevel="0" collapsed="false">
      <c r="A226" s="12" t="s">
        <v>109</v>
      </c>
      <c r="B226" s="12" t="s">
        <v>400</v>
      </c>
      <c r="C226" s="12" t="s">
        <v>282</v>
      </c>
      <c r="D226" s="12" t="s">
        <v>283</v>
      </c>
      <c r="E226" s="12" t="s">
        <v>730</v>
      </c>
      <c r="F226" s="12" t="s">
        <v>731</v>
      </c>
      <c r="G226" s="12" t="s">
        <v>293</v>
      </c>
      <c r="H226" s="12" t="s">
        <v>287</v>
      </c>
      <c r="I226" s="12" t="s">
        <v>288</v>
      </c>
    </row>
    <row r="227" customFormat="false" ht="23.85" hidden="false" customHeight="false" outlineLevel="0" collapsed="false">
      <c r="A227" s="12" t="s">
        <v>109</v>
      </c>
      <c r="B227" s="12" t="s">
        <v>400</v>
      </c>
      <c r="C227" s="12" t="s">
        <v>282</v>
      </c>
      <c r="D227" s="12" t="s">
        <v>283</v>
      </c>
      <c r="E227" s="12" t="s">
        <v>732</v>
      </c>
      <c r="F227" s="12" t="s">
        <v>733</v>
      </c>
      <c r="G227" s="12" t="s">
        <v>293</v>
      </c>
      <c r="H227" s="12" t="s">
        <v>287</v>
      </c>
      <c r="I227" s="12" t="s">
        <v>288</v>
      </c>
    </row>
    <row r="228" customFormat="false" ht="23.85" hidden="false" customHeight="false" outlineLevel="0" collapsed="false">
      <c r="A228" s="12" t="s">
        <v>109</v>
      </c>
      <c r="B228" s="12" t="s">
        <v>400</v>
      </c>
      <c r="C228" s="12" t="s">
        <v>282</v>
      </c>
      <c r="D228" s="12" t="s">
        <v>338</v>
      </c>
      <c r="E228" s="12" t="s">
        <v>734</v>
      </c>
      <c r="F228" s="12" t="s">
        <v>735</v>
      </c>
      <c r="G228" s="12" t="s">
        <v>293</v>
      </c>
      <c r="H228" s="12" t="s">
        <v>287</v>
      </c>
      <c r="I228" s="12" t="s">
        <v>288</v>
      </c>
    </row>
    <row r="229" customFormat="false" ht="23.85" hidden="false" customHeight="false" outlineLevel="0" collapsed="false">
      <c r="A229" s="12" t="s">
        <v>109</v>
      </c>
      <c r="B229" s="12" t="s">
        <v>400</v>
      </c>
      <c r="C229" s="12" t="s">
        <v>282</v>
      </c>
      <c r="D229" s="12" t="s">
        <v>338</v>
      </c>
      <c r="E229" s="12" t="s">
        <v>736</v>
      </c>
      <c r="F229" s="12" t="s">
        <v>737</v>
      </c>
      <c r="G229" s="12" t="s">
        <v>293</v>
      </c>
      <c r="H229" s="12" t="s">
        <v>287</v>
      </c>
      <c r="I229" s="12" t="s">
        <v>288</v>
      </c>
    </row>
    <row r="230" customFormat="false" ht="23.85" hidden="false" customHeight="false" outlineLevel="0" collapsed="false">
      <c r="A230" s="12" t="s">
        <v>109</v>
      </c>
      <c r="B230" s="12" t="s">
        <v>400</v>
      </c>
      <c r="C230" s="12" t="s">
        <v>282</v>
      </c>
      <c r="D230" s="12" t="s">
        <v>338</v>
      </c>
      <c r="E230" s="12" t="s">
        <v>738</v>
      </c>
      <c r="F230" s="12" t="s">
        <v>496</v>
      </c>
      <c r="G230" s="12" t="s">
        <v>293</v>
      </c>
      <c r="H230" s="12" t="s">
        <v>287</v>
      </c>
      <c r="I230" s="12" t="s">
        <v>288</v>
      </c>
    </row>
    <row r="231" customFormat="false" ht="23.85" hidden="false" customHeight="false" outlineLevel="0" collapsed="false">
      <c r="A231" s="12" t="s">
        <v>109</v>
      </c>
      <c r="B231" s="12" t="s">
        <v>400</v>
      </c>
      <c r="C231" s="12" t="s">
        <v>282</v>
      </c>
      <c r="D231" s="12" t="s">
        <v>338</v>
      </c>
      <c r="E231" s="12" t="s">
        <v>739</v>
      </c>
      <c r="F231" s="12" t="s">
        <v>740</v>
      </c>
      <c r="G231" s="12" t="s">
        <v>293</v>
      </c>
      <c r="H231" s="12" t="s">
        <v>287</v>
      </c>
      <c r="I231" s="12" t="s">
        <v>288</v>
      </c>
    </row>
    <row r="232" customFormat="false" ht="23.85" hidden="false" customHeight="false" outlineLevel="0" collapsed="false">
      <c r="A232" s="12" t="s">
        <v>109</v>
      </c>
      <c r="B232" s="12" t="s">
        <v>400</v>
      </c>
      <c r="C232" s="12" t="s">
        <v>282</v>
      </c>
      <c r="D232" s="12" t="s">
        <v>338</v>
      </c>
      <c r="E232" s="12" t="s">
        <v>741</v>
      </c>
      <c r="F232" s="12" t="s">
        <v>742</v>
      </c>
      <c r="G232" s="12" t="s">
        <v>293</v>
      </c>
      <c r="H232" s="12" t="s">
        <v>287</v>
      </c>
      <c r="I232" s="12" t="s">
        <v>288</v>
      </c>
    </row>
    <row r="233" customFormat="false" ht="23.85" hidden="false" customHeight="false" outlineLevel="0" collapsed="false">
      <c r="A233" s="12" t="s">
        <v>109</v>
      </c>
      <c r="B233" s="12" t="s">
        <v>400</v>
      </c>
      <c r="C233" s="12" t="s">
        <v>282</v>
      </c>
      <c r="D233" s="12" t="s">
        <v>338</v>
      </c>
      <c r="E233" s="12" t="s">
        <v>743</v>
      </c>
      <c r="F233" s="12" t="s">
        <v>744</v>
      </c>
      <c r="G233" s="12" t="s">
        <v>293</v>
      </c>
      <c r="H233" s="12" t="s">
        <v>287</v>
      </c>
      <c r="I233" s="12" t="s">
        <v>288</v>
      </c>
    </row>
    <row r="234" customFormat="false" ht="23.85" hidden="false" customHeight="false" outlineLevel="0" collapsed="false">
      <c r="A234" s="12" t="s">
        <v>109</v>
      </c>
      <c r="B234" s="12" t="s">
        <v>400</v>
      </c>
      <c r="C234" s="12" t="s">
        <v>282</v>
      </c>
      <c r="D234" s="12" t="s">
        <v>338</v>
      </c>
      <c r="E234" s="12" t="s">
        <v>745</v>
      </c>
      <c r="F234" s="12" t="s">
        <v>746</v>
      </c>
      <c r="G234" s="12" t="s">
        <v>293</v>
      </c>
      <c r="H234" s="12" t="s">
        <v>287</v>
      </c>
      <c r="I234" s="12" t="s">
        <v>288</v>
      </c>
    </row>
    <row r="235" customFormat="false" ht="23.85" hidden="false" customHeight="false" outlineLevel="0" collapsed="false">
      <c r="A235" s="12" t="s">
        <v>109</v>
      </c>
      <c r="B235" s="12" t="s">
        <v>400</v>
      </c>
      <c r="C235" s="12" t="s">
        <v>282</v>
      </c>
      <c r="D235" s="12" t="s">
        <v>338</v>
      </c>
      <c r="E235" s="12" t="s">
        <v>747</v>
      </c>
      <c r="F235" s="12" t="s">
        <v>748</v>
      </c>
      <c r="G235" s="12" t="s">
        <v>293</v>
      </c>
      <c r="H235" s="12" t="s">
        <v>287</v>
      </c>
      <c r="I235" s="12" t="s">
        <v>288</v>
      </c>
    </row>
    <row r="236" customFormat="false" ht="23.85" hidden="false" customHeight="false" outlineLevel="0" collapsed="false">
      <c r="A236" s="12" t="s">
        <v>109</v>
      </c>
      <c r="B236" s="12" t="s">
        <v>400</v>
      </c>
      <c r="C236" s="12" t="s">
        <v>282</v>
      </c>
      <c r="D236" s="12" t="s">
        <v>338</v>
      </c>
      <c r="E236" s="12" t="s">
        <v>749</v>
      </c>
      <c r="F236" s="12" t="s">
        <v>750</v>
      </c>
      <c r="G236" s="12" t="s">
        <v>293</v>
      </c>
      <c r="H236" s="12" t="s">
        <v>287</v>
      </c>
      <c r="I236" s="12" t="s">
        <v>288</v>
      </c>
    </row>
    <row r="237" customFormat="false" ht="23.85" hidden="false" customHeight="false" outlineLevel="0" collapsed="false">
      <c r="A237" s="12" t="s">
        <v>109</v>
      </c>
      <c r="B237" s="12" t="s">
        <v>400</v>
      </c>
      <c r="C237" s="12" t="s">
        <v>282</v>
      </c>
      <c r="D237" s="12" t="s">
        <v>338</v>
      </c>
      <c r="E237" s="12" t="s">
        <v>751</v>
      </c>
      <c r="F237" s="12" t="s">
        <v>752</v>
      </c>
      <c r="G237" s="12" t="s">
        <v>293</v>
      </c>
      <c r="H237" s="12" t="s">
        <v>287</v>
      </c>
      <c r="I237" s="12" t="s">
        <v>288</v>
      </c>
    </row>
    <row r="238" customFormat="false" ht="23.85" hidden="false" customHeight="false" outlineLevel="0" collapsed="false">
      <c r="A238" s="12" t="s">
        <v>109</v>
      </c>
      <c r="B238" s="12" t="s">
        <v>400</v>
      </c>
      <c r="C238" s="12" t="s">
        <v>282</v>
      </c>
      <c r="D238" s="12" t="s">
        <v>338</v>
      </c>
      <c r="E238" s="12" t="s">
        <v>753</v>
      </c>
      <c r="F238" s="12" t="s">
        <v>754</v>
      </c>
      <c r="G238" s="12" t="s">
        <v>293</v>
      </c>
      <c r="H238" s="12" t="s">
        <v>287</v>
      </c>
      <c r="I238" s="12" t="s">
        <v>288</v>
      </c>
    </row>
    <row r="239" customFormat="false" ht="23.85" hidden="false" customHeight="false" outlineLevel="0" collapsed="false">
      <c r="A239" s="12" t="s">
        <v>109</v>
      </c>
      <c r="B239" s="12" t="s">
        <v>400</v>
      </c>
      <c r="C239" s="12" t="s">
        <v>282</v>
      </c>
      <c r="D239" s="12" t="s">
        <v>338</v>
      </c>
      <c r="E239" s="12" t="s">
        <v>755</v>
      </c>
      <c r="F239" s="12" t="s">
        <v>756</v>
      </c>
      <c r="G239" s="12" t="s">
        <v>293</v>
      </c>
      <c r="H239" s="12" t="s">
        <v>287</v>
      </c>
      <c r="I239" s="12" t="s">
        <v>288</v>
      </c>
    </row>
    <row r="240" customFormat="false" ht="23.85" hidden="false" customHeight="false" outlineLevel="0" collapsed="false">
      <c r="A240" s="12" t="s">
        <v>109</v>
      </c>
      <c r="B240" s="12" t="s">
        <v>400</v>
      </c>
      <c r="C240" s="12" t="s">
        <v>282</v>
      </c>
      <c r="D240" s="12" t="s">
        <v>338</v>
      </c>
      <c r="E240" s="12" t="s">
        <v>757</v>
      </c>
      <c r="F240" s="12" t="s">
        <v>758</v>
      </c>
      <c r="G240" s="12" t="s">
        <v>293</v>
      </c>
      <c r="H240" s="12" t="s">
        <v>287</v>
      </c>
      <c r="I240" s="12" t="s">
        <v>288</v>
      </c>
    </row>
    <row r="241" customFormat="false" ht="23.85" hidden="false" customHeight="false" outlineLevel="0" collapsed="false">
      <c r="A241" s="12" t="s">
        <v>109</v>
      </c>
      <c r="B241" s="12" t="s">
        <v>400</v>
      </c>
      <c r="C241" s="12" t="s">
        <v>282</v>
      </c>
      <c r="D241" s="12" t="s">
        <v>338</v>
      </c>
      <c r="E241" s="12" t="s">
        <v>759</v>
      </c>
      <c r="F241" s="12" t="s">
        <v>760</v>
      </c>
      <c r="G241" s="12" t="s">
        <v>293</v>
      </c>
      <c r="H241" s="12" t="s">
        <v>287</v>
      </c>
      <c r="I241" s="12" t="s">
        <v>288</v>
      </c>
    </row>
    <row r="242" customFormat="false" ht="23.85" hidden="false" customHeight="false" outlineLevel="0" collapsed="false">
      <c r="A242" s="12" t="s">
        <v>109</v>
      </c>
      <c r="B242" s="12" t="s">
        <v>400</v>
      </c>
      <c r="C242" s="12" t="s">
        <v>282</v>
      </c>
      <c r="D242" s="12" t="s">
        <v>338</v>
      </c>
      <c r="E242" s="12" t="s">
        <v>761</v>
      </c>
      <c r="F242" s="12" t="s">
        <v>762</v>
      </c>
      <c r="G242" s="12" t="s">
        <v>293</v>
      </c>
      <c r="H242" s="12" t="s">
        <v>287</v>
      </c>
      <c r="I242" s="12" t="s">
        <v>288</v>
      </c>
    </row>
    <row r="243" customFormat="false" ht="23.85" hidden="false" customHeight="false" outlineLevel="0" collapsed="false">
      <c r="A243" s="12" t="s">
        <v>109</v>
      </c>
      <c r="B243" s="12" t="s">
        <v>400</v>
      </c>
      <c r="C243" s="12" t="s">
        <v>282</v>
      </c>
      <c r="D243" s="12" t="s">
        <v>338</v>
      </c>
      <c r="E243" s="12" t="s">
        <v>763</v>
      </c>
      <c r="F243" s="12" t="s">
        <v>764</v>
      </c>
      <c r="G243" s="12" t="s">
        <v>293</v>
      </c>
      <c r="H243" s="12" t="s">
        <v>287</v>
      </c>
      <c r="I243" s="12" t="s">
        <v>288</v>
      </c>
    </row>
    <row r="244" customFormat="false" ht="23.85" hidden="false" customHeight="false" outlineLevel="0" collapsed="false">
      <c r="A244" s="12" t="s">
        <v>109</v>
      </c>
      <c r="B244" s="12" t="s">
        <v>400</v>
      </c>
      <c r="C244" s="12" t="s">
        <v>282</v>
      </c>
      <c r="D244" s="12" t="s">
        <v>338</v>
      </c>
      <c r="E244" s="12" t="s">
        <v>765</v>
      </c>
      <c r="F244" s="12" t="s">
        <v>766</v>
      </c>
      <c r="G244" s="12" t="s">
        <v>293</v>
      </c>
      <c r="H244" s="12" t="s">
        <v>287</v>
      </c>
      <c r="I244" s="12" t="s">
        <v>288</v>
      </c>
    </row>
    <row r="245" customFormat="false" ht="23.85" hidden="false" customHeight="false" outlineLevel="0" collapsed="false">
      <c r="A245" s="12" t="s">
        <v>109</v>
      </c>
      <c r="B245" s="12" t="s">
        <v>400</v>
      </c>
      <c r="C245" s="12" t="s">
        <v>282</v>
      </c>
      <c r="D245" s="12" t="s">
        <v>338</v>
      </c>
      <c r="E245" s="12" t="s">
        <v>767</v>
      </c>
      <c r="F245" s="12" t="s">
        <v>768</v>
      </c>
      <c r="G245" s="12" t="s">
        <v>293</v>
      </c>
      <c r="H245" s="12" t="s">
        <v>287</v>
      </c>
      <c r="I245" s="12" t="s">
        <v>288</v>
      </c>
    </row>
    <row r="246" customFormat="false" ht="23.85" hidden="false" customHeight="false" outlineLevel="0" collapsed="false">
      <c r="A246" s="12" t="s">
        <v>109</v>
      </c>
      <c r="B246" s="12" t="s">
        <v>400</v>
      </c>
      <c r="C246" s="12" t="s">
        <v>282</v>
      </c>
      <c r="D246" s="12" t="s">
        <v>338</v>
      </c>
      <c r="E246" s="12" t="s">
        <v>769</v>
      </c>
      <c r="F246" s="12" t="s">
        <v>770</v>
      </c>
      <c r="G246" s="12" t="s">
        <v>293</v>
      </c>
      <c r="H246" s="12" t="s">
        <v>287</v>
      </c>
      <c r="I246" s="12" t="s">
        <v>288</v>
      </c>
    </row>
    <row r="247" customFormat="false" ht="23.85" hidden="false" customHeight="false" outlineLevel="0" collapsed="false">
      <c r="A247" s="12" t="s">
        <v>109</v>
      </c>
      <c r="B247" s="12" t="s">
        <v>400</v>
      </c>
      <c r="C247" s="12" t="s">
        <v>282</v>
      </c>
      <c r="D247" s="12" t="s">
        <v>338</v>
      </c>
      <c r="E247" s="12" t="s">
        <v>771</v>
      </c>
      <c r="F247" s="12" t="s">
        <v>772</v>
      </c>
      <c r="G247" s="12" t="s">
        <v>293</v>
      </c>
      <c r="H247" s="12" t="s">
        <v>287</v>
      </c>
      <c r="I247" s="12" t="s">
        <v>288</v>
      </c>
    </row>
    <row r="248" customFormat="false" ht="23.85" hidden="false" customHeight="false" outlineLevel="0" collapsed="false">
      <c r="A248" s="12" t="s">
        <v>109</v>
      </c>
      <c r="B248" s="12" t="s">
        <v>400</v>
      </c>
      <c r="C248" s="12" t="s">
        <v>282</v>
      </c>
      <c r="D248" s="12" t="s">
        <v>338</v>
      </c>
      <c r="E248" s="12" t="s">
        <v>773</v>
      </c>
      <c r="F248" s="12" t="s">
        <v>774</v>
      </c>
      <c r="G248" s="12" t="s">
        <v>293</v>
      </c>
      <c r="H248" s="12" t="s">
        <v>287</v>
      </c>
      <c r="I248" s="12" t="s">
        <v>288</v>
      </c>
    </row>
    <row r="249" customFormat="false" ht="23.85" hidden="false" customHeight="false" outlineLevel="0" collapsed="false">
      <c r="A249" s="12" t="s">
        <v>109</v>
      </c>
      <c r="B249" s="12" t="s">
        <v>400</v>
      </c>
      <c r="C249" s="12" t="s">
        <v>282</v>
      </c>
      <c r="D249" s="12" t="s">
        <v>338</v>
      </c>
      <c r="E249" s="12" t="s">
        <v>775</v>
      </c>
      <c r="F249" s="12" t="s">
        <v>776</v>
      </c>
      <c r="G249" s="12" t="s">
        <v>293</v>
      </c>
      <c r="H249" s="12" t="s">
        <v>287</v>
      </c>
      <c r="I249" s="12" t="s">
        <v>288</v>
      </c>
    </row>
    <row r="250" customFormat="false" ht="23.85" hidden="false" customHeight="false" outlineLevel="0" collapsed="false">
      <c r="A250" s="12" t="s">
        <v>109</v>
      </c>
      <c r="B250" s="12" t="s">
        <v>400</v>
      </c>
      <c r="C250" s="12" t="s">
        <v>282</v>
      </c>
      <c r="D250" s="12" t="s">
        <v>338</v>
      </c>
      <c r="E250" s="12" t="s">
        <v>777</v>
      </c>
      <c r="F250" s="12" t="s">
        <v>778</v>
      </c>
      <c r="G250" s="12" t="s">
        <v>293</v>
      </c>
      <c r="H250" s="12" t="s">
        <v>287</v>
      </c>
      <c r="I250" s="12" t="s">
        <v>288</v>
      </c>
    </row>
    <row r="251" customFormat="false" ht="23.85" hidden="false" customHeight="false" outlineLevel="0" collapsed="false">
      <c r="A251" s="12" t="s">
        <v>109</v>
      </c>
      <c r="B251" s="12" t="s">
        <v>400</v>
      </c>
      <c r="C251" s="12" t="s">
        <v>282</v>
      </c>
      <c r="D251" s="12" t="s">
        <v>338</v>
      </c>
      <c r="E251" s="12" t="s">
        <v>779</v>
      </c>
      <c r="F251" s="12" t="s">
        <v>780</v>
      </c>
      <c r="G251" s="12" t="s">
        <v>293</v>
      </c>
      <c r="H251" s="12" t="s">
        <v>287</v>
      </c>
      <c r="I251" s="12" t="s">
        <v>288</v>
      </c>
    </row>
    <row r="252" customFormat="false" ht="23.85" hidden="false" customHeight="false" outlineLevel="0" collapsed="false">
      <c r="A252" s="12" t="s">
        <v>109</v>
      </c>
      <c r="B252" s="12" t="s">
        <v>400</v>
      </c>
      <c r="C252" s="12" t="s">
        <v>282</v>
      </c>
      <c r="D252" s="12" t="s">
        <v>338</v>
      </c>
      <c r="E252" s="12" t="s">
        <v>781</v>
      </c>
      <c r="F252" s="12" t="s">
        <v>782</v>
      </c>
      <c r="G252" s="12" t="s">
        <v>293</v>
      </c>
      <c r="H252" s="12" t="s">
        <v>287</v>
      </c>
      <c r="I252" s="12" t="s">
        <v>288</v>
      </c>
    </row>
    <row r="253" customFormat="false" ht="23.85" hidden="false" customHeight="false" outlineLevel="0" collapsed="false">
      <c r="A253" s="12" t="s">
        <v>109</v>
      </c>
      <c r="B253" s="12" t="s">
        <v>400</v>
      </c>
      <c r="C253" s="12" t="s">
        <v>282</v>
      </c>
      <c r="D253" s="12" t="s">
        <v>338</v>
      </c>
      <c r="E253" s="12" t="s">
        <v>783</v>
      </c>
      <c r="F253" s="12" t="s">
        <v>784</v>
      </c>
      <c r="G253" s="12" t="s">
        <v>293</v>
      </c>
      <c r="H253" s="12" t="s">
        <v>287</v>
      </c>
      <c r="I253" s="12" t="s">
        <v>288</v>
      </c>
    </row>
    <row r="254" customFormat="false" ht="23.85" hidden="false" customHeight="false" outlineLevel="0" collapsed="false">
      <c r="A254" s="12" t="s">
        <v>109</v>
      </c>
      <c r="B254" s="12" t="s">
        <v>400</v>
      </c>
      <c r="C254" s="12" t="s">
        <v>282</v>
      </c>
      <c r="D254" s="12" t="s">
        <v>338</v>
      </c>
      <c r="E254" s="12" t="s">
        <v>785</v>
      </c>
      <c r="F254" s="12" t="s">
        <v>786</v>
      </c>
      <c r="G254" s="12" t="s">
        <v>293</v>
      </c>
      <c r="H254" s="12" t="s">
        <v>287</v>
      </c>
      <c r="I254" s="12" t="s">
        <v>288</v>
      </c>
    </row>
    <row r="255" customFormat="false" ht="23.85" hidden="false" customHeight="false" outlineLevel="0" collapsed="false">
      <c r="A255" s="12" t="s">
        <v>109</v>
      </c>
      <c r="B255" s="12" t="s">
        <v>400</v>
      </c>
      <c r="C255" s="12" t="s">
        <v>282</v>
      </c>
      <c r="D255" s="12" t="s">
        <v>338</v>
      </c>
      <c r="E255" s="12" t="s">
        <v>787</v>
      </c>
      <c r="F255" s="12" t="s">
        <v>788</v>
      </c>
      <c r="G255" s="12" t="s">
        <v>293</v>
      </c>
      <c r="H255" s="12" t="s">
        <v>287</v>
      </c>
      <c r="I255" s="12" t="s">
        <v>288</v>
      </c>
    </row>
    <row r="256" customFormat="false" ht="23.85" hidden="false" customHeight="false" outlineLevel="0" collapsed="false">
      <c r="A256" s="12" t="s">
        <v>109</v>
      </c>
      <c r="B256" s="12" t="s">
        <v>400</v>
      </c>
      <c r="C256" s="12" t="s">
        <v>282</v>
      </c>
      <c r="D256" s="12" t="s">
        <v>338</v>
      </c>
      <c r="E256" s="12" t="s">
        <v>789</v>
      </c>
      <c r="F256" s="12" t="s">
        <v>790</v>
      </c>
      <c r="G256" s="12" t="s">
        <v>293</v>
      </c>
      <c r="H256" s="12" t="s">
        <v>287</v>
      </c>
      <c r="I256" s="12" t="s">
        <v>288</v>
      </c>
    </row>
    <row r="257" customFormat="false" ht="23.85" hidden="false" customHeight="false" outlineLevel="0" collapsed="false">
      <c r="A257" s="12" t="s">
        <v>109</v>
      </c>
      <c r="B257" s="12" t="s">
        <v>400</v>
      </c>
      <c r="C257" s="12" t="s">
        <v>282</v>
      </c>
      <c r="D257" s="12" t="s">
        <v>338</v>
      </c>
      <c r="E257" s="12" t="s">
        <v>791</v>
      </c>
      <c r="F257" s="12" t="s">
        <v>792</v>
      </c>
      <c r="G257" s="12" t="s">
        <v>293</v>
      </c>
      <c r="H257" s="12" t="s">
        <v>287</v>
      </c>
      <c r="I257" s="12" t="s">
        <v>288</v>
      </c>
    </row>
    <row r="258" customFormat="false" ht="23.85" hidden="false" customHeight="false" outlineLevel="0" collapsed="false">
      <c r="A258" s="12" t="s">
        <v>109</v>
      </c>
      <c r="B258" s="12" t="s">
        <v>400</v>
      </c>
      <c r="C258" s="12" t="s">
        <v>282</v>
      </c>
      <c r="D258" s="12" t="s">
        <v>338</v>
      </c>
      <c r="E258" s="12" t="s">
        <v>793</v>
      </c>
      <c r="F258" s="12" t="s">
        <v>733</v>
      </c>
      <c r="G258" s="12" t="s">
        <v>293</v>
      </c>
      <c r="H258" s="12" t="s">
        <v>287</v>
      </c>
      <c r="I258" s="12" t="s">
        <v>288</v>
      </c>
    </row>
    <row r="259" customFormat="false" ht="23.85" hidden="false" customHeight="false" outlineLevel="0" collapsed="false">
      <c r="A259" s="12" t="s">
        <v>109</v>
      </c>
      <c r="B259" s="12" t="s">
        <v>794</v>
      </c>
      <c r="C259" s="12" t="s">
        <v>282</v>
      </c>
      <c r="D259" s="12" t="s">
        <v>283</v>
      </c>
      <c r="E259" s="12" t="s">
        <v>795</v>
      </c>
      <c r="F259" s="12" t="s">
        <v>796</v>
      </c>
      <c r="G259" s="12" t="s">
        <v>286</v>
      </c>
      <c r="H259" s="12" t="s">
        <v>287</v>
      </c>
      <c r="I259" s="12" t="s">
        <v>288</v>
      </c>
    </row>
    <row r="260" customFormat="false" ht="23.85" hidden="false" customHeight="false" outlineLevel="0" collapsed="false">
      <c r="A260" s="12" t="s">
        <v>109</v>
      </c>
      <c r="B260" s="12" t="s">
        <v>794</v>
      </c>
      <c r="C260" s="12" t="s">
        <v>282</v>
      </c>
      <c r="D260" s="12" t="s">
        <v>283</v>
      </c>
      <c r="E260" s="12" t="s">
        <v>797</v>
      </c>
      <c r="F260" s="12" t="s">
        <v>798</v>
      </c>
      <c r="G260" s="12" t="s">
        <v>293</v>
      </c>
      <c r="H260" s="12" t="s">
        <v>287</v>
      </c>
      <c r="I260" s="12" t="s">
        <v>288</v>
      </c>
    </row>
    <row r="261" customFormat="false" ht="23.85" hidden="false" customHeight="false" outlineLevel="0" collapsed="false">
      <c r="A261" s="12" t="s">
        <v>109</v>
      </c>
      <c r="B261" s="12" t="s">
        <v>794</v>
      </c>
      <c r="C261" s="12" t="s">
        <v>282</v>
      </c>
      <c r="D261" s="12" t="s">
        <v>283</v>
      </c>
      <c r="E261" s="12" t="s">
        <v>799</v>
      </c>
      <c r="F261" s="12" t="s">
        <v>800</v>
      </c>
      <c r="G261" s="12" t="s">
        <v>293</v>
      </c>
      <c r="H261" s="12" t="s">
        <v>287</v>
      </c>
      <c r="I261" s="12" t="s">
        <v>288</v>
      </c>
    </row>
    <row r="262" customFormat="false" ht="23.85" hidden="false" customHeight="false" outlineLevel="0" collapsed="false">
      <c r="A262" s="12" t="s">
        <v>109</v>
      </c>
      <c r="B262" s="12" t="s">
        <v>794</v>
      </c>
      <c r="C262" s="12" t="s">
        <v>282</v>
      </c>
      <c r="D262" s="12" t="s">
        <v>283</v>
      </c>
      <c r="E262" s="12" t="s">
        <v>801</v>
      </c>
      <c r="F262" s="12" t="s">
        <v>802</v>
      </c>
      <c r="G262" s="12" t="s">
        <v>293</v>
      </c>
      <c r="H262" s="12" t="s">
        <v>287</v>
      </c>
      <c r="I262" s="12" t="s">
        <v>288</v>
      </c>
    </row>
    <row r="263" customFormat="false" ht="23.85" hidden="false" customHeight="false" outlineLevel="0" collapsed="false">
      <c r="A263" s="12" t="s">
        <v>109</v>
      </c>
      <c r="B263" s="12" t="s">
        <v>794</v>
      </c>
      <c r="C263" s="12" t="s">
        <v>282</v>
      </c>
      <c r="D263" s="12" t="s">
        <v>283</v>
      </c>
      <c r="E263" s="12" t="s">
        <v>803</v>
      </c>
      <c r="F263" s="12" t="s">
        <v>804</v>
      </c>
      <c r="G263" s="12" t="s">
        <v>286</v>
      </c>
      <c r="H263" s="12" t="s">
        <v>287</v>
      </c>
      <c r="I263" s="12" t="s">
        <v>288</v>
      </c>
    </row>
    <row r="264" customFormat="false" ht="23.85" hidden="false" customHeight="false" outlineLevel="0" collapsed="false">
      <c r="A264" s="12" t="s">
        <v>109</v>
      </c>
      <c r="B264" s="12" t="s">
        <v>794</v>
      </c>
      <c r="C264" s="12" t="s">
        <v>282</v>
      </c>
      <c r="D264" s="12" t="s">
        <v>283</v>
      </c>
      <c r="E264" s="12" t="s">
        <v>805</v>
      </c>
      <c r="F264" s="12" t="s">
        <v>806</v>
      </c>
      <c r="G264" s="12" t="s">
        <v>293</v>
      </c>
      <c r="H264" s="12" t="s">
        <v>287</v>
      </c>
      <c r="I264" s="12" t="s">
        <v>288</v>
      </c>
    </row>
    <row r="265" customFormat="false" ht="23.85" hidden="false" customHeight="false" outlineLevel="0" collapsed="false">
      <c r="A265" s="12" t="s">
        <v>109</v>
      </c>
      <c r="B265" s="12" t="s">
        <v>794</v>
      </c>
      <c r="C265" s="12" t="s">
        <v>282</v>
      </c>
      <c r="D265" s="12" t="s">
        <v>283</v>
      </c>
      <c r="E265" s="12" t="s">
        <v>807</v>
      </c>
      <c r="F265" s="12" t="s">
        <v>804</v>
      </c>
      <c r="G265" s="12" t="s">
        <v>293</v>
      </c>
      <c r="H265" s="12" t="s">
        <v>287</v>
      </c>
      <c r="I265" s="12" t="s">
        <v>288</v>
      </c>
    </row>
    <row r="266" customFormat="false" ht="23.85" hidden="false" customHeight="false" outlineLevel="0" collapsed="false">
      <c r="A266" s="12" t="s">
        <v>109</v>
      </c>
      <c r="B266" s="12" t="s">
        <v>794</v>
      </c>
      <c r="C266" s="12" t="s">
        <v>282</v>
      </c>
      <c r="D266" s="12" t="s">
        <v>283</v>
      </c>
      <c r="E266" s="12" t="s">
        <v>808</v>
      </c>
      <c r="F266" s="12" t="s">
        <v>809</v>
      </c>
      <c r="G266" s="12" t="s">
        <v>293</v>
      </c>
      <c r="H266" s="12" t="s">
        <v>287</v>
      </c>
      <c r="I266" s="12" t="s">
        <v>288</v>
      </c>
    </row>
    <row r="267" customFormat="false" ht="23.85" hidden="false" customHeight="false" outlineLevel="0" collapsed="false">
      <c r="A267" s="12" t="s">
        <v>109</v>
      </c>
      <c r="B267" s="12" t="s">
        <v>794</v>
      </c>
      <c r="C267" s="12" t="s">
        <v>282</v>
      </c>
      <c r="D267" s="12" t="s">
        <v>338</v>
      </c>
      <c r="E267" s="12" t="s">
        <v>810</v>
      </c>
      <c r="F267" s="12" t="s">
        <v>811</v>
      </c>
      <c r="G267" s="12" t="s">
        <v>293</v>
      </c>
      <c r="H267" s="12" t="s">
        <v>287</v>
      </c>
      <c r="I267" s="12" t="s">
        <v>288</v>
      </c>
    </row>
    <row r="268" customFormat="false" ht="23.85" hidden="false" customHeight="false" outlineLevel="0" collapsed="false">
      <c r="A268" s="12" t="s">
        <v>109</v>
      </c>
      <c r="B268" s="12" t="s">
        <v>794</v>
      </c>
      <c r="C268" s="12" t="s">
        <v>282</v>
      </c>
      <c r="D268" s="12" t="s">
        <v>338</v>
      </c>
      <c r="E268" s="12" t="s">
        <v>812</v>
      </c>
      <c r="F268" s="12" t="s">
        <v>813</v>
      </c>
      <c r="G268" s="12" t="s">
        <v>293</v>
      </c>
      <c r="H268" s="12" t="s">
        <v>287</v>
      </c>
      <c r="I268" s="12" t="s">
        <v>288</v>
      </c>
    </row>
    <row r="269" customFormat="false" ht="23.85" hidden="false" customHeight="false" outlineLevel="0" collapsed="false">
      <c r="A269" s="12" t="s">
        <v>109</v>
      </c>
      <c r="B269" s="12" t="s">
        <v>794</v>
      </c>
      <c r="C269" s="12" t="s">
        <v>282</v>
      </c>
      <c r="D269" s="12" t="s">
        <v>338</v>
      </c>
      <c r="E269" s="12" t="s">
        <v>814</v>
      </c>
      <c r="F269" s="12" t="s">
        <v>815</v>
      </c>
      <c r="G269" s="12" t="s">
        <v>293</v>
      </c>
      <c r="H269" s="12" t="s">
        <v>287</v>
      </c>
      <c r="I269" s="12" t="s">
        <v>288</v>
      </c>
    </row>
    <row r="270" customFormat="false" ht="23.85" hidden="false" customHeight="false" outlineLevel="0" collapsed="false">
      <c r="A270" s="12" t="s">
        <v>109</v>
      </c>
      <c r="B270" s="12" t="s">
        <v>816</v>
      </c>
      <c r="C270" s="12" t="s">
        <v>282</v>
      </c>
      <c r="D270" s="12" t="s">
        <v>283</v>
      </c>
      <c r="E270" s="12" t="s">
        <v>817</v>
      </c>
      <c r="F270" s="12" t="s">
        <v>818</v>
      </c>
      <c r="G270" s="12" t="s">
        <v>293</v>
      </c>
      <c r="H270" s="12" t="s">
        <v>287</v>
      </c>
      <c r="I270" s="12" t="s">
        <v>288</v>
      </c>
    </row>
    <row r="271" customFormat="false" ht="23.85" hidden="false" customHeight="false" outlineLevel="0" collapsed="false">
      <c r="A271" s="12" t="s">
        <v>109</v>
      </c>
      <c r="B271" s="12" t="s">
        <v>816</v>
      </c>
      <c r="C271" s="12" t="s">
        <v>282</v>
      </c>
      <c r="D271" s="12" t="s">
        <v>283</v>
      </c>
      <c r="E271" s="12" t="s">
        <v>819</v>
      </c>
      <c r="F271" s="12" t="s">
        <v>820</v>
      </c>
      <c r="G271" s="12" t="s">
        <v>293</v>
      </c>
      <c r="H271" s="12" t="s">
        <v>287</v>
      </c>
      <c r="I271" s="12" t="s">
        <v>288</v>
      </c>
    </row>
    <row r="272" customFormat="false" ht="23.85" hidden="false" customHeight="false" outlineLevel="0" collapsed="false">
      <c r="A272" s="12" t="s">
        <v>109</v>
      </c>
      <c r="B272" s="12" t="s">
        <v>816</v>
      </c>
      <c r="C272" s="12" t="s">
        <v>282</v>
      </c>
      <c r="D272" s="12" t="s">
        <v>283</v>
      </c>
      <c r="E272" s="12" t="s">
        <v>821</v>
      </c>
      <c r="F272" s="12" t="s">
        <v>822</v>
      </c>
      <c r="G272" s="12" t="s">
        <v>293</v>
      </c>
      <c r="H272" s="12" t="s">
        <v>287</v>
      </c>
      <c r="I272" s="12" t="s">
        <v>288</v>
      </c>
    </row>
    <row r="273" customFormat="false" ht="23.85" hidden="false" customHeight="false" outlineLevel="0" collapsed="false">
      <c r="A273" s="12" t="s">
        <v>109</v>
      </c>
      <c r="B273" s="12" t="s">
        <v>816</v>
      </c>
      <c r="C273" s="12" t="s">
        <v>282</v>
      </c>
      <c r="D273" s="12" t="s">
        <v>283</v>
      </c>
      <c r="E273" s="12" t="s">
        <v>823</v>
      </c>
      <c r="F273" s="12" t="s">
        <v>824</v>
      </c>
      <c r="G273" s="12" t="s">
        <v>286</v>
      </c>
      <c r="H273" s="12" t="s">
        <v>287</v>
      </c>
      <c r="I273" s="12" t="s">
        <v>288</v>
      </c>
    </row>
    <row r="274" customFormat="false" ht="23.85" hidden="false" customHeight="false" outlineLevel="0" collapsed="false">
      <c r="A274" s="12" t="s">
        <v>109</v>
      </c>
      <c r="B274" s="12" t="s">
        <v>816</v>
      </c>
      <c r="C274" s="12" t="s">
        <v>282</v>
      </c>
      <c r="D274" s="12" t="s">
        <v>283</v>
      </c>
      <c r="E274" s="12" t="s">
        <v>825</v>
      </c>
      <c r="F274" s="12" t="s">
        <v>826</v>
      </c>
      <c r="G274" s="12" t="s">
        <v>293</v>
      </c>
      <c r="H274" s="12" t="s">
        <v>287</v>
      </c>
      <c r="I274" s="12" t="s">
        <v>288</v>
      </c>
    </row>
    <row r="275" customFormat="false" ht="23.85" hidden="false" customHeight="false" outlineLevel="0" collapsed="false">
      <c r="A275" s="12" t="s">
        <v>109</v>
      </c>
      <c r="B275" s="12" t="s">
        <v>816</v>
      </c>
      <c r="C275" s="12" t="s">
        <v>282</v>
      </c>
      <c r="D275" s="12" t="s">
        <v>283</v>
      </c>
      <c r="E275" s="12" t="s">
        <v>827</v>
      </c>
      <c r="F275" s="12" t="s">
        <v>828</v>
      </c>
      <c r="G275" s="12" t="s">
        <v>286</v>
      </c>
      <c r="H275" s="12" t="s">
        <v>287</v>
      </c>
      <c r="I275" s="12" t="s">
        <v>288</v>
      </c>
    </row>
    <row r="276" customFormat="false" ht="23.85" hidden="false" customHeight="false" outlineLevel="0" collapsed="false">
      <c r="A276" s="12" t="s">
        <v>109</v>
      </c>
      <c r="B276" s="12" t="s">
        <v>816</v>
      </c>
      <c r="C276" s="12" t="s">
        <v>282</v>
      </c>
      <c r="D276" s="12" t="s">
        <v>283</v>
      </c>
      <c r="E276" s="12" t="s">
        <v>829</v>
      </c>
      <c r="F276" s="12" t="s">
        <v>830</v>
      </c>
      <c r="G276" s="12" t="s">
        <v>293</v>
      </c>
      <c r="H276" s="12" t="s">
        <v>287</v>
      </c>
      <c r="I276" s="12" t="s">
        <v>288</v>
      </c>
    </row>
    <row r="277" customFormat="false" ht="23.85" hidden="false" customHeight="false" outlineLevel="0" collapsed="false">
      <c r="A277" s="12" t="s">
        <v>109</v>
      </c>
      <c r="B277" s="12" t="s">
        <v>816</v>
      </c>
      <c r="C277" s="12" t="s">
        <v>282</v>
      </c>
      <c r="D277" s="12" t="s">
        <v>283</v>
      </c>
      <c r="E277" s="12" t="s">
        <v>831</v>
      </c>
      <c r="F277" s="12" t="s">
        <v>832</v>
      </c>
      <c r="G277" s="12" t="s">
        <v>293</v>
      </c>
      <c r="H277" s="12" t="s">
        <v>287</v>
      </c>
      <c r="I277" s="12" t="s">
        <v>288</v>
      </c>
    </row>
    <row r="278" customFormat="false" ht="23.85" hidden="false" customHeight="false" outlineLevel="0" collapsed="false">
      <c r="A278" s="12" t="s">
        <v>109</v>
      </c>
      <c r="B278" s="12" t="s">
        <v>816</v>
      </c>
      <c r="C278" s="12" t="s">
        <v>282</v>
      </c>
      <c r="D278" s="12" t="s">
        <v>283</v>
      </c>
      <c r="E278" s="12" t="s">
        <v>833</v>
      </c>
      <c r="F278" s="12" t="s">
        <v>834</v>
      </c>
      <c r="G278" s="12" t="s">
        <v>293</v>
      </c>
      <c r="H278" s="12" t="s">
        <v>287</v>
      </c>
      <c r="I278" s="12" t="s">
        <v>288</v>
      </c>
    </row>
    <row r="279" customFormat="false" ht="23.85" hidden="false" customHeight="false" outlineLevel="0" collapsed="false">
      <c r="A279" s="12" t="s">
        <v>109</v>
      </c>
      <c r="B279" s="12" t="s">
        <v>816</v>
      </c>
      <c r="C279" s="12" t="s">
        <v>282</v>
      </c>
      <c r="D279" s="12" t="s">
        <v>283</v>
      </c>
      <c r="E279" s="12" t="s">
        <v>835</v>
      </c>
      <c r="F279" s="12" t="s">
        <v>836</v>
      </c>
      <c r="G279" s="12" t="s">
        <v>293</v>
      </c>
      <c r="H279" s="12" t="s">
        <v>287</v>
      </c>
      <c r="I279" s="12" t="s">
        <v>288</v>
      </c>
    </row>
    <row r="280" customFormat="false" ht="23.85" hidden="false" customHeight="false" outlineLevel="0" collapsed="false">
      <c r="A280" s="12" t="s">
        <v>109</v>
      </c>
      <c r="B280" s="12" t="s">
        <v>816</v>
      </c>
      <c r="C280" s="12" t="s">
        <v>282</v>
      </c>
      <c r="D280" s="12" t="s">
        <v>283</v>
      </c>
      <c r="E280" s="12" t="s">
        <v>837</v>
      </c>
      <c r="F280" s="12" t="s">
        <v>838</v>
      </c>
      <c r="G280" s="12" t="s">
        <v>286</v>
      </c>
      <c r="H280" s="12" t="s">
        <v>287</v>
      </c>
      <c r="I280" s="12" t="s">
        <v>288</v>
      </c>
    </row>
    <row r="281" customFormat="false" ht="23.85" hidden="false" customHeight="false" outlineLevel="0" collapsed="false">
      <c r="A281" s="12" t="s">
        <v>109</v>
      </c>
      <c r="B281" s="12" t="s">
        <v>816</v>
      </c>
      <c r="C281" s="12" t="s">
        <v>282</v>
      </c>
      <c r="D281" s="12" t="s">
        <v>283</v>
      </c>
      <c r="E281" s="12" t="s">
        <v>839</v>
      </c>
      <c r="F281" s="12" t="s">
        <v>840</v>
      </c>
      <c r="G281" s="12" t="s">
        <v>293</v>
      </c>
      <c r="H281" s="12" t="s">
        <v>287</v>
      </c>
      <c r="I281" s="12" t="s">
        <v>288</v>
      </c>
    </row>
    <row r="282" customFormat="false" ht="23.85" hidden="false" customHeight="false" outlineLevel="0" collapsed="false">
      <c r="A282" s="12" t="s">
        <v>109</v>
      </c>
      <c r="B282" s="12" t="s">
        <v>816</v>
      </c>
      <c r="C282" s="12" t="s">
        <v>282</v>
      </c>
      <c r="D282" s="12" t="s">
        <v>283</v>
      </c>
      <c r="E282" s="12" t="s">
        <v>841</v>
      </c>
      <c r="F282" s="12" t="s">
        <v>842</v>
      </c>
      <c r="G282" s="12" t="s">
        <v>293</v>
      </c>
      <c r="H282" s="12" t="s">
        <v>287</v>
      </c>
      <c r="I282" s="12" t="s">
        <v>288</v>
      </c>
    </row>
    <row r="283" customFormat="false" ht="23.85" hidden="false" customHeight="false" outlineLevel="0" collapsed="false">
      <c r="A283" s="12" t="s">
        <v>109</v>
      </c>
      <c r="B283" s="12" t="s">
        <v>816</v>
      </c>
      <c r="C283" s="12" t="s">
        <v>282</v>
      </c>
      <c r="D283" s="12" t="s">
        <v>283</v>
      </c>
      <c r="E283" s="12" t="s">
        <v>843</v>
      </c>
      <c r="F283" s="12" t="s">
        <v>844</v>
      </c>
      <c r="G283" s="12" t="s">
        <v>293</v>
      </c>
      <c r="H283" s="12" t="s">
        <v>287</v>
      </c>
      <c r="I283" s="12" t="s">
        <v>288</v>
      </c>
    </row>
    <row r="284" customFormat="false" ht="23.85" hidden="false" customHeight="false" outlineLevel="0" collapsed="false">
      <c r="A284" s="12" t="s">
        <v>109</v>
      </c>
      <c r="B284" s="12" t="s">
        <v>816</v>
      </c>
      <c r="C284" s="12" t="s">
        <v>282</v>
      </c>
      <c r="D284" s="12" t="s">
        <v>283</v>
      </c>
      <c r="E284" s="12" t="s">
        <v>845</v>
      </c>
      <c r="F284" s="12" t="s">
        <v>846</v>
      </c>
      <c r="G284" s="12" t="s">
        <v>293</v>
      </c>
      <c r="H284" s="12" t="s">
        <v>287</v>
      </c>
      <c r="I284" s="12" t="s">
        <v>288</v>
      </c>
    </row>
    <row r="285" customFormat="false" ht="23.85" hidden="false" customHeight="false" outlineLevel="0" collapsed="false">
      <c r="A285" s="12" t="s">
        <v>109</v>
      </c>
      <c r="B285" s="12" t="s">
        <v>816</v>
      </c>
      <c r="C285" s="12" t="s">
        <v>282</v>
      </c>
      <c r="D285" s="12" t="s">
        <v>283</v>
      </c>
      <c r="E285" s="12" t="s">
        <v>847</v>
      </c>
      <c r="F285" s="12" t="s">
        <v>848</v>
      </c>
      <c r="G285" s="12" t="s">
        <v>286</v>
      </c>
      <c r="H285" s="12" t="s">
        <v>287</v>
      </c>
      <c r="I285" s="12" t="s">
        <v>288</v>
      </c>
    </row>
    <row r="286" customFormat="false" ht="23.85" hidden="false" customHeight="false" outlineLevel="0" collapsed="false">
      <c r="A286" s="12" t="s">
        <v>109</v>
      </c>
      <c r="B286" s="12" t="s">
        <v>816</v>
      </c>
      <c r="C286" s="12" t="s">
        <v>282</v>
      </c>
      <c r="D286" s="12" t="s">
        <v>283</v>
      </c>
      <c r="E286" s="12" t="s">
        <v>849</v>
      </c>
      <c r="F286" s="12" t="s">
        <v>850</v>
      </c>
      <c r="G286" s="12" t="s">
        <v>293</v>
      </c>
      <c r="H286" s="12" t="s">
        <v>287</v>
      </c>
      <c r="I286" s="12" t="s">
        <v>288</v>
      </c>
    </row>
    <row r="287" customFormat="false" ht="23.85" hidden="false" customHeight="false" outlineLevel="0" collapsed="false">
      <c r="A287" s="12" t="s">
        <v>109</v>
      </c>
      <c r="B287" s="12" t="s">
        <v>816</v>
      </c>
      <c r="C287" s="12" t="s">
        <v>282</v>
      </c>
      <c r="D287" s="12" t="s">
        <v>283</v>
      </c>
      <c r="E287" s="12" t="s">
        <v>851</v>
      </c>
      <c r="F287" s="12" t="s">
        <v>852</v>
      </c>
      <c r="G287" s="12" t="s">
        <v>293</v>
      </c>
      <c r="H287" s="12" t="s">
        <v>287</v>
      </c>
      <c r="I287" s="12" t="s">
        <v>288</v>
      </c>
    </row>
    <row r="288" customFormat="false" ht="23.85" hidden="false" customHeight="false" outlineLevel="0" collapsed="false">
      <c r="A288" s="12" t="s">
        <v>109</v>
      </c>
      <c r="B288" s="12" t="s">
        <v>816</v>
      </c>
      <c r="C288" s="12" t="s">
        <v>282</v>
      </c>
      <c r="D288" s="12" t="s">
        <v>283</v>
      </c>
      <c r="E288" s="12" t="s">
        <v>853</v>
      </c>
      <c r="F288" s="12" t="s">
        <v>854</v>
      </c>
      <c r="G288" s="12" t="s">
        <v>293</v>
      </c>
      <c r="H288" s="12" t="s">
        <v>287</v>
      </c>
      <c r="I288" s="12" t="s">
        <v>288</v>
      </c>
    </row>
    <row r="289" customFormat="false" ht="23.85" hidden="false" customHeight="false" outlineLevel="0" collapsed="false">
      <c r="A289" s="12" t="s">
        <v>109</v>
      </c>
      <c r="B289" s="12" t="s">
        <v>816</v>
      </c>
      <c r="C289" s="12" t="s">
        <v>282</v>
      </c>
      <c r="D289" s="12" t="s">
        <v>283</v>
      </c>
      <c r="E289" s="12" t="s">
        <v>855</v>
      </c>
      <c r="F289" s="12" t="s">
        <v>856</v>
      </c>
      <c r="G289" s="12" t="s">
        <v>293</v>
      </c>
      <c r="H289" s="12" t="s">
        <v>287</v>
      </c>
      <c r="I289" s="12" t="s">
        <v>288</v>
      </c>
    </row>
    <row r="290" customFormat="false" ht="23.85" hidden="false" customHeight="false" outlineLevel="0" collapsed="false">
      <c r="A290" s="12" t="s">
        <v>109</v>
      </c>
      <c r="B290" s="12" t="s">
        <v>816</v>
      </c>
      <c r="C290" s="12" t="s">
        <v>282</v>
      </c>
      <c r="D290" s="12" t="s">
        <v>283</v>
      </c>
      <c r="E290" s="12" t="s">
        <v>857</v>
      </c>
      <c r="F290" s="12" t="s">
        <v>858</v>
      </c>
      <c r="G290" s="12" t="s">
        <v>286</v>
      </c>
      <c r="H290" s="12" t="s">
        <v>287</v>
      </c>
      <c r="I290" s="12" t="s">
        <v>288</v>
      </c>
    </row>
    <row r="291" customFormat="false" ht="23.85" hidden="false" customHeight="false" outlineLevel="0" collapsed="false">
      <c r="A291" s="12" t="s">
        <v>109</v>
      </c>
      <c r="B291" s="12" t="s">
        <v>816</v>
      </c>
      <c r="C291" s="12" t="s">
        <v>282</v>
      </c>
      <c r="D291" s="12" t="s">
        <v>283</v>
      </c>
      <c r="E291" s="12" t="s">
        <v>859</v>
      </c>
      <c r="F291" s="12" t="s">
        <v>860</v>
      </c>
      <c r="G291" s="12" t="s">
        <v>286</v>
      </c>
      <c r="H291" s="12" t="s">
        <v>287</v>
      </c>
      <c r="I291" s="12" t="s">
        <v>288</v>
      </c>
    </row>
    <row r="292" customFormat="false" ht="23.85" hidden="false" customHeight="false" outlineLevel="0" collapsed="false">
      <c r="A292" s="12" t="s">
        <v>109</v>
      </c>
      <c r="B292" s="12" t="s">
        <v>816</v>
      </c>
      <c r="C292" s="12" t="s">
        <v>282</v>
      </c>
      <c r="D292" s="12" t="s">
        <v>283</v>
      </c>
      <c r="E292" s="12" t="s">
        <v>861</v>
      </c>
      <c r="F292" s="12" t="s">
        <v>862</v>
      </c>
      <c r="G292" s="12" t="s">
        <v>293</v>
      </c>
      <c r="H292" s="12" t="s">
        <v>287</v>
      </c>
      <c r="I292" s="12" t="s">
        <v>288</v>
      </c>
    </row>
    <row r="293" customFormat="false" ht="23.85" hidden="false" customHeight="false" outlineLevel="0" collapsed="false">
      <c r="A293" s="12" t="s">
        <v>109</v>
      </c>
      <c r="B293" s="12" t="s">
        <v>816</v>
      </c>
      <c r="C293" s="12" t="s">
        <v>282</v>
      </c>
      <c r="D293" s="12" t="s">
        <v>283</v>
      </c>
      <c r="E293" s="12" t="s">
        <v>863</v>
      </c>
      <c r="F293" s="12" t="s">
        <v>864</v>
      </c>
      <c r="G293" s="12" t="s">
        <v>293</v>
      </c>
      <c r="H293" s="12" t="s">
        <v>287</v>
      </c>
      <c r="I293" s="12" t="s">
        <v>288</v>
      </c>
    </row>
    <row r="294" customFormat="false" ht="23.85" hidden="false" customHeight="false" outlineLevel="0" collapsed="false">
      <c r="A294" s="12" t="s">
        <v>109</v>
      </c>
      <c r="B294" s="12" t="s">
        <v>816</v>
      </c>
      <c r="C294" s="12" t="s">
        <v>282</v>
      </c>
      <c r="D294" s="12" t="s">
        <v>283</v>
      </c>
      <c r="E294" s="12" t="s">
        <v>865</v>
      </c>
      <c r="F294" s="12" t="s">
        <v>866</v>
      </c>
      <c r="G294" s="12" t="s">
        <v>293</v>
      </c>
      <c r="H294" s="12" t="s">
        <v>287</v>
      </c>
      <c r="I294" s="12" t="s">
        <v>288</v>
      </c>
    </row>
    <row r="295" customFormat="false" ht="23.85" hidden="false" customHeight="false" outlineLevel="0" collapsed="false">
      <c r="A295" s="12" t="s">
        <v>109</v>
      </c>
      <c r="B295" s="12" t="s">
        <v>816</v>
      </c>
      <c r="C295" s="12" t="s">
        <v>282</v>
      </c>
      <c r="D295" s="12" t="s">
        <v>283</v>
      </c>
      <c r="E295" s="12" t="s">
        <v>867</v>
      </c>
      <c r="F295" s="12" t="s">
        <v>868</v>
      </c>
      <c r="G295" s="12" t="s">
        <v>293</v>
      </c>
      <c r="H295" s="12" t="s">
        <v>287</v>
      </c>
      <c r="I295" s="12" t="s">
        <v>288</v>
      </c>
    </row>
    <row r="296" customFormat="false" ht="23.85" hidden="false" customHeight="false" outlineLevel="0" collapsed="false">
      <c r="A296" s="12" t="s">
        <v>109</v>
      </c>
      <c r="B296" s="12" t="s">
        <v>816</v>
      </c>
      <c r="C296" s="12" t="s">
        <v>282</v>
      </c>
      <c r="D296" s="12" t="s">
        <v>283</v>
      </c>
      <c r="E296" s="12" t="s">
        <v>869</v>
      </c>
      <c r="F296" s="12" t="s">
        <v>870</v>
      </c>
      <c r="G296" s="12" t="s">
        <v>293</v>
      </c>
      <c r="H296" s="12" t="s">
        <v>287</v>
      </c>
      <c r="I296" s="12" t="s">
        <v>288</v>
      </c>
    </row>
    <row r="297" customFormat="false" ht="23.85" hidden="false" customHeight="false" outlineLevel="0" collapsed="false">
      <c r="A297" s="12" t="s">
        <v>109</v>
      </c>
      <c r="B297" s="12" t="s">
        <v>816</v>
      </c>
      <c r="C297" s="12" t="s">
        <v>282</v>
      </c>
      <c r="D297" s="12" t="s">
        <v>283</v>
      </c>
      <c r="E297" s="12" t="s">
        <v>871</v>
      </c>
      <c r="F297" s="12" t="s">
        <v>872</v>
      </c>
      <c r="G297" s="12" t="s">
        <v>293</v>
      </c>
      <c r="H297" s="12" t="s">
        <v>287</v>
      </c>
      <c r="I297" s="12" t="s">
        <v>288</v>
      </c>
    </row>
    <row r="298" customFormat="false" ht="23.85" hidden="false" customHeight="false" outlineLevel="0" collapsed="false">
      <c r="A298" s="12" t="s">
        <v>109</v>
      </c>
      <c r="B298" s="12" t="s">
        <v>816</v>
      </c>
      <c r="C298" s="12" t="s">
        <v>282</v>
      </c>
      <c r="D298" s="12" t="s">
        <v>283</v>
      </c>
      <c r="E298" s="12" t="s">
        <v>873</v>
      </c>
      <c r="F298" s="12" t="s">
        <v>874</v>
      </c>
      <c r="G298" s="12" t="s">
        <v>293</v>
      </c>
      <c r="H298" s="12" t="s">
        <v>287</v>
      </c>
      <c r="I298" s="12" t="s">
        <v>288</v>
      </c>
    </row>
    <row r="299" customFormat="false" ht="23.85" hidden="false" customHeight="false" outlineLevel="0" collapsed="false">
      <c r="A299" s="12" t="s">
        <v>109</v>
      </c>
      <c r="B299" s="12" t="s">
        <v>816</v>
      </c>
      <c r="C299" s="12" t="s">
        <v>282</v>
      </c>
      <c r="D299" s="12" t="s">
        <v>283</v>
      </c>
      <c r="E299" s="12" t="s">
        <v>875</v>
      </c>
      <c r="F299" s="12" t="s">
        <v>876</v>
      </c>
      <c r="G299" s="12" t="s">
        <v>293</v>
      </c>
      <c r="H299" s="12" t="s">
        <v>287</v>
      </c>
      <c r="I299" s="12" t="s">
        <v>288</v>
      </c>
    </row>
    <row r="300" customFormat="false" ht="23.85" hidden="false" customHeight="false" outlineLevel="0" collapsed="false">
      <c r="A300" s="12" t="s">
        <v>109</v>
      </c>
      <c r="B300" s="12" t="s">
        <v>816</v>
      </c>
      <c r="C300" s="12" t="s">
        <v>282</v>
      </c>
      <c r="D300" s="12" t="s">
        <v>283</v>
      </c>
      <c r="E300" s="12" t="s">
        <v>877</v>
      </c>
      <c r="F300" s="12" t="s">
        <v>858</v>
      </c>
      <c r="G300" s="12" t="s">
        <v>293</v>
      </c>
      <c r="H300" s="12" t="s">
        <v>287</v>
      </c>
      <c r="I300" s="12" t="s">
        <v>288</v>
      </c>
    </row>
    <row r="301" customFormat="false" ht="23.85" hidden="false" customHeight="false" outlineLevel="0" collapsed="false">
      <c r="A301" s="12" t="s">
        <v>109</v>
      </c>
      <c r="B301" s="12" t="s">
        <v>816</v>
      </c>
      <c r="C301" s="12" t="s">
        <v>282</v>
      </c>
      <c r="D301" s="12" t="s">
        <v>283</v>
      </c>
      <c r="E301" s="12" t="s">
        <v>878</v>
      </c>
      <c r="F301" s="12" t="s">
        <v>879</v>
      </c>
      <c r="G301" s="12" t="s">
        <v>293</v>
      </c>
      <c r="H301" s="12" t="s">
        <v>287</v>
      </c>
      <c r="I301" s="12" t="s">
        <v>288</v>
      </c>
    </row>
    <row r="302" customFormat="false" ht="23.85" hidden="false" customHeight="false" outlineLevel="0" collapsed="false">
      <c r="A302" s="12" t="s">
        <v>109</v>
      </c>
      <c r="B302" s="12" t="s">
        <v>816</v>
      </c>
      <c r="C302" s="12" t="s">
        <v>282</v>
      </c>
      <c r="D302" s="12" t="s">
        <v>338</v>
      </c>
      <c r="E302" s="12" t="s">
        <v>880</v>
      </c>
      <c r="F302" s="12" t="s">
        <v>881</v>
      </c>
      <c r="G302" s="12" t="s">
        <v>293</v>
      </c>
      <c r="H302" s="12" t="s">
        <v>287</v>
      </c>
      <c r="I302" s="12" t="s">
        <v>288</v>
      </c>
    </row>
    <row r="303" customFormat="false" ht="23.85" hidden="false" customHeight="false" outlineLevel="0" collapsed="false">
      <c r="A303" s="12" t="s">
        <v>109</v>
      </c>
      <c r="B303" s="12" t="s">
        <v>816</v>
      </c>
      <c r="C303" s="12" t="s">
        <v>282</v>
      </c>
      <c r="D303" s="12" t="s">
        <v>338</v>
      </c>
      <c r="E303" s="12" t="s">
        <v>882</v>
      </c>
      <c r="F303" s="12" t="s">
        <v>883</v>
      </c>
      <c r="G303" s="12" t="s">
        <v>293</v>
      </c>
      <c r="H303" s="12" t="s">
        <v>287</v>
      </c>
      <c r="I303" s="12" t="s">
        <v>288</v>
      </c>
    </row>
    <row r="304" customFormat="false" ht="23.85" hidden="false" customHeight="false" outlineLevel="0" collapsed="false">
      <c r="A304" s="12" t="s">
        <v>109</v>
      </c>
      <c r="B304" s="12" t="s">
        <v>816</v>
      </c>
      <c r="C304" s="12" t="s">
        <v>282</v>
      </c>
      <c r="D304" s="12" t="s">
        <v>338</v>
      </c>
      <c r="E304" s="12" t="s">
        <v>884</v>
      </c>
      <c r="F304" s="12" t="s">
        <v>885</v>
      </c>
      <c r="G304" s="12" t="s">
        <v>293</v>
      </c>
      <c r="H304" s="12" t="s">
        <v>287</v>
      </c>
      <c r="I304" s="12" t="s">
        <v>288</v>
      </c>
    </row>
    <row r="305" customFormat="false" ht="23.85" hidden="false" customHeight="false" outlineLevel="0" collapsed="false">
      <c r="A305" s="12" t="s">
        <v>109</v>
      </c>
      <c r="B305" s="12" t="s">
        <v>816</v>
      </c>
      <c r="C305" s="12" t="s">
        <v>282</v>
      </c>
      <c r="D305" s="12" t="s">
        <v>338</v>
      </c>
      <c r="E305" s="12" t="s">
        <v>886</v>
      </c>
      <c r="F305" s="12" t="s">
        <v>887</v>
      </c>
      <c r="G305" s="12" t="s">
        <v>293</v>
      </c>
      <c r="H305" s="12" t="s">
        <v>287</v>
      </c>
      <c r="I305" s="12" t="s">
        <v>288</v>
      </c>
    </row>
    <row r="306" customFormat="false" ht="23.85" hidden="false" customHeight="false" outlineLevel="0" collapsed="false">
      <c r="A306" s="12" t="s">
        <v>109</v>
      </c>
      <c r="B306" s="12" t="s">
        <v>816</v>
      </c>
      <c r="C306" s="12" t="s">
        <v>282</v>
      </c>
      <c r="D306" s="12" t="s">
        <v>338</v>
      </c>
      <c r="E306" s="12" t="s">
        <v>888</v>
      </c>
      <c r="F306" s="12" t="s">
        <v>889</v>
      </c>
      <c r="G306" s="12" t="s">
        <v>293</v>
      </c>
      <c r="H306" s="12" t="s">
        <v>287</v>
      </c>
      <c r="I306" s="12" t="s">
        <v>288</v>
      </c>
    </row>
    <row r="307" customFormat="false" ht="23.85" hidden="false" customHeight="false" outlineLevel="0" collapsed="false">
      <c r="A307" s="12" t="s">
        <v>109</v>
      </c>
      <c r="B307" s="12" t="s">
        <v>816</v>
      </c>
      <c r="C307" s="12" t="s">
        <v>282</v>
      </c>
      <c r="D307" s="12" t="s">
        <v>338</v>
      </c>
      <c r="E307" s="12" t="s">
        <v>890</v>
      </c>
      <c r="F307" s="12" t="s">
        <v>891</v>
      </c>
      <c r="G307" s="12" t="s">
        <v>293</v>
      </c>
      <c r="H307" s="12" t="s">
        <v>287</v>
      </c>
      <c r="I307" s="12" t="s">
        <v>288</v>
      </c>
    </row>
    <row r="308" customFormat="false" ht="23.85" hidden="false" customHeight="false" outlineLevel="0" collapsed="false">
      <c r="A308" s="12" t="s">
        <v>109</v>
      </c>
      <c r="B308" s="12" t="s">
        <v>816</v>
      </c>
      <c r="C308" s="12" t="s">
        <v>282</v>
      </c>
      <c r="D308" s="12" t="s">
        <v>338</v>
      </c>
      <c r="E308" s="12" t="s">
        <v>892</v>
      </c>
      <c r="F308" s="12" t="s">
        <v>893</v>
      </c>
      <c r="G308" s="12" t="s">
        <v>293</v>
      </c>
      <c r="H308" s="12" t="s">
        <v>287</v>
      </c>
      <c r="I308" s="12" t="s">
        <v>288</v>
      </c>
    </row>
    <row r="309" customFormat="false" ht="23.85" hidden="false" customHeight="false" outlineLevel="0" collapsed="false">
      <c r="A309" s="12" t="s">
        <v>109</v>
      </c>
      <c r="B309" s="12" t="s">
        <v>816</v>
      </c>
      <c r="C309" s="12" t="s">
        <v>282</v>
      </c>
      <c r="D309" s="12" t="s">
        <v>338</v>
      </c>
      <c r="E309" s="12" t="s">
        <v>894</v>
      </c>
      <c r="F309" s="12" t="s">
        <v>895</v>
      </c>
      <c r="G309" s="12" t="s">
        <v>293</v>
      </c>
      <c r="H309" s="12" t="s">
        <v>287</v>
      </c>
      <c r="I309" s="12" t="s">
        <v>288</v>
      </c>
    </row>
    <row r="310" customFormat="false" ht="23.85" hidden="false" customHeight="false" outlineLevel="0" collapsed="false">
      <c r="A310" s="12" t="s">
        <v>109</v>
      </c>
      <c r="B310" s="12" t="s">
        <v>816</v>
      </c>
      <c r="C310" s="12" t="s">
        <v>282</v>
      </c>
      <c r="D310" s="12" t="s">
        <v>338</v>
      </c>
      <c r="E310" s="12" t="s">
        <v>896</v>
      </c>
      <c r="F310" s="12" t="s">
        <v>897</v>
      </c>
      <c r="G310" s="12" t="s">
        <v>293</v>
      </c>
      <c r="H310" s="12" t="s">
        <v>287</v>
      </c>
      <c r="I310" s="12" t="s">
        <v>288</v>
      </c>
    </row>
    <row r="311" customFormat="false" ht="23.85" hidden="false" customHeight="false" outlineLevel="0" collapsed="false">
      <c r="A311" s="12" t="s">
        <v>109</v>
      </c>
      <c r="B311" s="12" t="s">
        <v>816</v>
      </c>
      <c r="C311" s="12" t="s">
        <v>282</v>
      </c>
      <c r="D311" s="12" t="s">
        <v>338</v>
      </c>
      <c r="E311" s="12" t="s">
        <v>898</v>
      </c>
      <c r="F311" s="12" t="s">
        <v>899</v>
      </c>
      <c r="G311" s="12" t="s">
        <v>293</v>
      </c>
      <c r="H311" s="12" t="s">
        <v>287</v>
      </c>
      <c r="I311" s="12" t="s">
        <v>288</v>
      </c>
    </row>
    <row r="312" customFormat="false" ht="23.85" hidden="false" customHeight="false" outlineLevel="0" collapsed="false">
      <c r="A312" s="12" t="s">
        <v>109</v>
      </c>
      <c r="B312" s="12" t="s">
        <v>816</v>
      </c>
      <c r="C312" s="12" t="s">
        <v>282</v>
      </c>
      <c r="D312" s="12" t="s">
        <v>338</v>
      </c>
      <c r="E312" s="12" t="s">
        <v>900</v>
      </c>
      <c r="F312" s="12" t="s">
        <v>901</v>
      </c>
      <c r="G312" s="12" t="s">
        <v>293</v>
      </c>
      <c r="H312" s="12" t="s">
        <v>287</v>
      </c>
      <c r="I312" s="12" t="s">
        <v>288</v>
      </c>
    </row>
    <row r="313" customFormat="false" ht="23.85" hidden="false" customHeight="false" outlineLevel="0" collapsed="false">
      <c r="A313" s="12" t="s">
        <v>109</v>
      </c>
      <c r="B313" s="12" t="s">
        <v>816</v>
      </c>
      <c r="C313" s="12" t="s">
        <v>282</v>
      </c>
      <c r="D313" s="12" t="s">
        <v>338</v>
      </c>
      <c r="E313" s="12" t="s">
        <v>902</v>
      </c>
      <c r="F313" s="12" t="s">
        <v>903</v>
      </c>
      <c r="G313" s="12" t="s">
        <v>293</v>
      </c>
      <c r="H313" s="12" t="s">
        <v>287</v>
      </c>
      <c r="I313" s="12" t="s">
        <v>288</v>
      </c>
    </row>
    <row r="314" customFormat="false" ht="23.85" hidden="false" customHeight="false" outlineLevel="0" collapsed="false">
      <c r="A314" s="12" t="s">
        <v>109</v>
      </c>
      <c r="B314" s="12" t="s">
        <v>816</v>
      </c>
      <c r="C314" s="12" t="s">
        <v>282</v>
      </c>
      <c r="D314" s="12" t="s">
        <v>338</v>
      </c>
      <c r="E314" s="12" t="s">
        <v>904</v>
      </c>
      <c r="F314" s="12" t="s">
        <v>905</v>
      </c>
      <c r="G314" s="12" t="s">
        <v>293</v>
      </c>
      <c r="H314" s="12" t="s">
        <v>287</v>
      </c>
      <c r="I314" s="12" t="s">
        <v>288</v>
      </c>
    </row>
    <row r="315" customFormat="false" ht="23.85" hidden="false" customHeight="false" outlineLevel="0" collapsed="false">
      <c r="A315" s="12" t="s">
        <v>109</v>
      </c>
      <c r="B315" s="12" t="s">
        <v>816</v>
      </c>
      <c r="C315" s="12" t="s">
        <v>282</v>
      </c>
      <c r="D315" s="12" t="s">
        <v>338</v>
      </c>
      <c r="E315" s="12" t="s">
        <v>906</v>
      </c>
      <c r="F315" s="12" t="s">
        <v>907</v>
      </c>
      <c r="G315" s="12" t="s">
        <v>293</v>
      </c>
      <c r="H315" s="12" t="s">
        <v>287</v>
      </c>
      <c r="I315" s="12" t="s">
        <v>288</v>
      </c>
    </row>
    <row r="316" customFormat="false" ht="23.85" hidden="false" customHeight="false" outlineLevel="0" collapsed="false">
      <c r="A316" s="12" t="s">
        <v>109</v>
      </c>
      <c r="B316" s="12" t="s">
        <v>816</v>
      </c>
      <c r="C316" s="12" t="s">
        <v>282</v>
      </c>
      <c r="D316" s="12" t="s">
        <v>338</v>
      </c>
      <c r="E316" s="12" t="s">
        <v>908</v>
      </c>
      <c r="F316" s="12" t="s">
        <v>879</v>
      </c>
      <c r="G316" s="12" t="s">
        <v>293</v>
      </c>
      <c r="H316" s="12" t="s">
        <v>287</v>
      </c>
      <c r="I316" s="12" t="s">
        <v>288</v>
      </c>
    </row>
    <row r="317" customFormat="false" ht="23.85" hidden="false" customHeight="false" outlineLevel="0" collapsed="false">
      <c r="A317" s="12" t="s">
        <v>109</v>
      </c>
      <c r="B317" s="12" t="s">
        <v>909</v>
      </c>
      <c r="C317" s="12" t="s">
        <v>282</v>
      </c>
      <c r="D317" s="12" t="s">
        <v>283</v>
      </c>
      <c r="E317" s="12" t="s">
        <v>910</v>
      </c>
      <c r="F317" s="12" t="s">
        <v>911</v>
      </c>
      <c r="G317" s="12" t="s">
        <v>286</v>
      </c>
      <c r="H317" s="12" t="s">
        <v>287</v>
      </c>
      <c r="I317" s="12" t="s">
        <v>288</v>
      </c>
    </row>
    <row r="318" customFormat="false" ht="23.85" hidden="false" customHeight="false" outlineLevel="0" collapsed="false">
      <c r="A318" s="12" t="s">
        <v>109</v>
      </c>
      <c r="B318" s="12" t="s">
        <v>909</v>
      </c>
      <c r="C318" s="12" t="s">
        <v>282</v>
      </c>
      <c r="D318" s="12" t="s">
        <v>283</v>
      </c>
      <c r="E318" s="12" t="s">
        <v>912</v>
      </c>
      <c r="F318" s="12" t="s">
        <v>913</v>
      </c>
      <c r="G318" s="12" t="s">
        <v>293</v>
      </c>
      <c r="H318" s="12" t="s">
        <v>287</v>
      </c>
      <c r="I318" s="12" t="s">
        <v>288</v>
      </c>
    </row>
    <row r="319" customFormat="false" ht="23.85" hidden="false" customHeight="false" outlineLevel="0" collapsed="false">
      <c r="A319" s="12" t="s">
        <v>109</v>
      </c>
      <c r="B319" s="12" t="s">
        <v>909</v>
      </c>
      <c r="C319" s="12" t="s">
        <v>282</v>
      </c>
      <c r="D319" s="12" t="s">
        <v>283</v>
      </c>
      <c r="E319" s="12" t="s">
        <v>914</v>
      </c>
      <c r="F319" s="12" t="s">
        <v>915</v>
      </c>
      <c r="G319" s="12" t="s">
        <v>286</v>
      </c>
      <c r="H319" s="12" t="s">
        <v>287</v>
      </c>
      <c r="I319" s="12" t="s">
        <v>288</v>
      </c>
    </row>
    <row r="320" customFormat="false" ht="23.85" hidden="false" customHeight="false" outlineLevel="0" collapsed="false">
      <c r="A320" s="12" t="s">
        <v>109</v>
      </c>
      <c r="B320" s="12" t="s">
        <v>909</v>
      </c>
      <c r="C320" s="12" t="s">
        <v>282</v>
      </c>
      <c r="D320" s="12" t="s">
        <v>283</v>
      </c>
      <c r="E320" s="12" t="s">
        <v>916</v>
      </c>
      <c r="F320" s="12" t="s">
        <v>917</v>
      </c>
      <c r="G320" s="12" t="s">
        <v>293</v>
      </c>
      <c r="H320" s="12" t="s">
        <v>287</v>
      </c>
      <c r="I320" s="12" t="s">
        <v>288</v>
      </c>
    </row>
    <row r="321" customFormat="false" ht="23.85" hidden="false" customHeight="false" outlineLevel="0" collapsed="false">
      <c r="A321" s="12" t="s">
        <v>109</v>
      </c>
      <c r="B321" s="12" t="s">
        <v>909</v>
      </c>
      <c r="C321" s="12" t="s">
        <v>282</v>
      </c>
      <c r="D321" s="12" t="s">
        <v>283</v>
      </c>
      <c r="E321" s="12" t="s">
        <v>918</v>
      </c>
      <c r="F321" s="12" t="s">
        <v>919</v>
      </c>
      <c r="G321" s="12" t="s">
        <v>293</v>
      </c>
      <c r="H321" s="12" t="s">
        <v>287</v>
      </c>
      <c r="I321" s="12" t="s">
        <v>288</v>
      </c>
    </row>
    <row r="322" customFormat="false" ht="23.85" hidden="false" customHeight="false" outlineLevel="0" collapsed="false">
      <c r="A322" s="12" t="s">
        <v>109</v>
      </c>
      <c r="B322" s="12" t="s">
        <v>909</v>
      </c>
      <c r="C322" s="12" t="s">
        <v>282</v>
      </c>
      <c r="D322" s="12" t="s">
        <v>283</v>
      </c>
      <c r="E322" s="12" t="s">
        <v>920</v>
      </c>
      <c r="F322" s="12" t="s">
        <v>921</v>
      </c>
      <c r="G322" s="12" t="s">
        <v>286</v>
      </c>
      <c r="H322" s="12" t="s">
        <v>287</v>
      </c>
      <c r="I322" s="12" t="s">
        <v>288</v>
      </c>
    </row>
    <row r="323" customFormat="false" ht="23.85" hidden="false" customHeight="false" outlineLevel="0" collapsed="false">
      <c r="A323" s="12" t="s">
        <v>109</v>
      </c>
      <c r="B323" s="12" t="s">
        <v>909</v>
      </c>
      <c r="C323" s="12" t="s">
        <v>282</v>
      </c>
      <c r="D323" s="12" t="s">
        <v>283</v>
      </c>
      <c r="E323" s="12" t="s">
        <v>922</v>
      </c>
      <c r="F323" s="12" t="s">
        <v>923</v>
      </c>
      <c r="G323" s="12" t="s">
        <v>293</v>
      </c>
      <c r="H323" s="12" t="s">
        <v>287</v>
      </c>
      <c r="I323" s="12" t="s">
        <v>288</v>
      </c>
    </row>
    <row r="324" customFormat="false" ht="23.85" hidden="false" customHeight="false" outlineLevel="0" collapsed="false">
      <c r="A324" s="12" t="s">
        <v>109</v>
      </c>
      <c r="B324" s="12" t="s">
        <v>909</v>
      </c>
      <c r="C324" s="12" t="s">
        <v>282</v>
      </c>
      <c r="D324" s="12" t="s">
        <v>283</v>
      </c>
      <c r="E324" s="12" t="s">
        <v>924</v>
      </c>
      <c r="F324" s="12" t="s">
        <v>925</v>
      </c>
      <c r="G324" s="12" t="s">
        <v>293</v>
      </c>
      <c r="H324" s="12" t="s">
        <v>287</v>
      </c>
      <c r="I324" s="12" t="s">
        <v>288</v>
      </c>
    </row>
    <row r="325" customFormat="false" ht="23.85" hidden="false" customHeight="false" outlineLevel="0" collapsed="false">
      <c r="A325" s="12" t="s">
        <v>109</v>
      </c>
      <c r="B325" s="12" t="s">
        <v>909</v>
      </c>
      <c r="C325" s="12" t="s">
        <v>282</v>
      </c>
      <c r="D325" s="12" t="s">
        <v>283</v>
      </c>
      <c r="E325" s="12" t="s">
        <v>926</v>
      </c>
      <c r="F325" s="12" t="s">
        <v>927</v>
      </c>
      <c r="G325" s="12" t="s">
        <v>293</v>
      </c>
      <c r="H325" s="12" t="s">
        <v>287</v>
      </c>
      <c r="I325" s="12" t="s">
        <v>288</v>
      </c>
    </row>
    <row r="326" customFormat="false" ht="23.85" hidden="false" customHeight="false" outlineLevel="0" collapsed="false">
      <c r="A326" s="12" t="s">
        <v>109</v>
      </c>
      <c r="B326" s="12" t="s">
        <v>909</v>
      </c>
      <c r="C326" s="12" t="s">
        <v>282</v>
      </c>
      <c r="D326" s="12" t="s">
        <v>283</v>
      </c>
      <c r="E326" s="12" t="s">
        <v>928</v>
      </c>
      <c r="F326" s="12" t="s">
        <v>929</v>
      </c>
      <c r="G326" s="12" t="s">
        <v>293</v>
      </c>
      <c r="H326" s="12" t="s">
        <v>287</v>
      </c>
      <c r="I326" s="12" t="s">
        <v>288</v>
      </c>
    </row>
    <row r="327" customFormat="false" ht="23.85" hidden="false" customHeight="false" outlineLevel="0" collapsed="false">
      <c r="A327" s="12" t="s">
        <v>109</v>
      </c>
      <c r="B327" s="12" t="s">
        <v>909</v>
      </c>
      <c r="C327" s="12" t="s">
        <v>282</v>
      </c>
      <c r="D327" s="12" t="s">
        <v>283</v>
      </c>
      <c r="E327" s="12" t="s">
        <v>930</v>
      </c>
      <c r="F327" s="12" t="s">
        <v>931</v>
      </c>
      <c r="G327" s="12" t="s">
        <v>286</v>
      </c>
      <c r="H327" s="12" t="s">
        <v>287</v>
      </c>
      <c r="I327" s="12" t="s">
        <v>288</v>
      </c>
    </row>
    <row r="328" customFormat="false" ht="23.85" hidden="false" customHeight="false" outlineLevel="0" collapsed="false">
      <c r="A328" s="12" t="s">
        <v>109</v>
      </c>
      <c r="B328" s="12" t="s">
        <v>909</v>
      </c>
      <c r="C328" s="12" t="s">
        <v>282</v>
      </c>
      <c r="D328" s="12" t="s">
        <v>283</v>
      </c>
      <c r="E328" s="12" t="s">
        <v>932</v>
      </c>
      <c r="F328" s="12" t="s">
        <v>933</v>
      </c>
      <c r="G328" s="12" t="s">
        <v>293</v>
      </c>
      <c r="H328" s="12" t="s">
        <v>287</v>
      </c>
      <c r="I328" s="12" t="s">
        <v>288</v>
      </c>
    </row>
    <row r="329" customFormat="false" ht="23.85" hidden="false" customHeight="false" outlineLevel="0" collapsed="false">
      <c r="A329" s="12" t="s">
        <v>109</v>
      </c>
      <c r="B329" s="12" t="s">
        <v>909</v>
      </c>
      <c r="C329" s="12" t="s">
        <v>282</v>
      </c>
      <c r="D329" s="12" t="s">
        <v>283</v>
      </c>
      <c r="E329" s="12" t="s">
        <v>934</v>
      </c>
      <c r="F329" s="12" t="s">
        <v>935</v>
      </c>
      <c r="G329" s="12" t="s">
        <v>293</v>
      </c>
      <c r="H329" s="12" t="s">
        <v>287</v>
      </c>
      <c r="I329" s="12" t="s">
        <v>288</v>
      </c>
    </row>
    <row r="330" customFormat="false" ht="23.85" hidden="false" customHeight="false" outlineLevel="0" collapsed="false">
      <c r="A330" s="12" t="s">
        <v>109</v>
      </c>
      <c r="B330" s="12" t="s">
        <v>909</v>
      </c>
      <c r="C330" s="12" t="s">
        <v>282</v>
      </c>
      <c r="D330" s="12" t="s">
        <v>338</v>
      </c>
      <c r="E330" s="12" t="s">
        <v>936</v>
      </c>
      <c r="F330" s="12" t="s">
        <v>937</v>
      </c>
      <c r="G330" s="12" t="s">
        <v>293</v>
      </c>
      <c r="H330" s="12" t="s">
        <v>287</v>
      </c>
      <c r="I330" s="12" t="s">
        <v>288</v>
      </c>
    </row>
    <row r="331" customFormat="false" ht="23.85" hidden="false" customHeight="false" outlineLevel="0" collapsed="false">
      <c r="A331" s="12" t="s">
        <v>109</v>
      </c>
      <c r="B331" s="12" t="s">
        <v>909</v>
      </c>
      <c r="C331" s="12" t="s">
        <v>282</v>
      </c>
      <c r="D331" s="12" t="s">
        <v>338</v>
      </c>
      <c r="E331" s="12" t="s">
        <v>938</v>
      </c>
      <c r="F331" s="12" t="s">
        <v>939</v>
      </c>
      <c r="G331" s="12" t="s">
        <v>293</v>
      </c>
      <c r="H331" s="12" t="s">
        <v>287</v>
      </c>
      <c r="I331" s="12" t="s">
        <v>288</v>
      </c>
    </row>
    <row r="332" customFormat="false" ht="23.85" hidden="false" customHeight="false" outlineLevel="0" collapsed="false">
      <c r="A332" s="12" t="s">
        <v>109</v>
      </c>
      <c r="B332" s="12" t="s">
        <v>940</v>
      </c>
      <c r="C332" s="12" t="s">
        <v>282</v>
      </c>
      <c r="D332" s="12" t="s">
        <v>283</v>
      </c>
      <c r="E332" s="12" t="s">
        <v>941</v>
      </c>
      <c r="F332" s="12" t="s">
        <v>942</v>
      </c>
      <c r="G332" s="12" t="s">
        <v>293</v>
      </c>
      <c r="H332" s="12" t="s">
        <v>287</v>
      </c>
      <c r="I332" s="12" t="s">
        <v>288</v>
      </c>
    </row>
    <row r="333" customFormat="false" ht="23.85" hidden="false" customHeight="false" outlineLevel="0" collapsed="false">
      <c r="A333" s="12" t="s">
        <v>109</v>
      </c>
      <c r="B333" s="12" t="s">
        <v>940</v>
      </c>
      <c r="C333" s="12" t="s">
        <v>282</v>
      </c>
      <c r="D333" s="12" t="s">
        <v>338</v>
      </c>
      <c r="E333" s="12" t="s">
        <v>943</v>
      </c>
      <c r="F333" s="12" t="s">
        <v>944</v>
      </c>
      <c r="G333" s="12" t="s">
        <v>293</v>
      </c>
      <c r="H333" s="12" t="s">
        <v>287</v>
      </c>
      <c r="I333" s="12" t="s">
        <v>288</v>
      </c>
    </row>
    <row r="334" customFormat="false" ht="23.85" hidden="false" customHeight="false" outlineLevel="0" collapsed="false">
      <c r="A334" s="12" t="s">
        <v>109</v>
      </c>
      <c r="B334" s="12" t="s">
        <v>945</v>
      </c>
      <c r="C334" s="12" t="s">
        <v>282</v>
      </c>
      <c r="D334" s="12" t="s">
        <v>283</v>
      </c>
      <c r="E334" s="12" t="s">
        <v>946</v>
      </c>
      <c r="F334" s="12" t="s">
        <v>947</v>
      </c>
      <c r="G334" s="12" t="s">
        <v>293</v>
      </c>
      <c r="H334" s="12" t="s">
        <v>287</v>
      </c>
      <c r="I334" s="12" t="s">
        <v>288</v>
      </c>
    </row>
    <row r="335" customFormat="false" ht="23.85" hidden="false" customHeight="false" outlineLevel="0" collapsed="false">
      <c r="A335" s="12" t="s">
        <v>109</v>
      </c>
      <c r="B335" s="12" t="s">
        <v>945</v>
      </c>
      <c r="C335" s="12" t="s">
        <v>282</v>
      </c>
      <c r="D335" s="12" t="s">
        <v>283</v>
      </c>
      <c r="E335" s="12" t="s">
        <v>948</v>
      </c>
      <c r="F335" s="12" t="s">
        <v>949</v>
      </c>
      <c r="G335" s="12" t="s">
        <v>286</v>
      </c>
      <c r="H335" s="12" t="s">
        <v>287</v>
      </c>
      <c r="I335" s="12" t="s">
        <v>288</v>
      </c>
    </row>
    <row r="336" customFormat="false" ht="23.85" hidden="false" customHeight="false" outlineLevel="0" collapsed="false">
      <c r="A336" s="12" t="s">
        <v>109</v>
      </c>
      <c r="B336" s="12" t="s">
        <v>945</v>
      </c>
      <c r="C336" s="12" t="s">
        <v>282</v>
      </c>
      <c r="D336" s="12" t="s">
        <v>283</v>
      </c>
      <c r="E336" s="12" t="s">
        <v>817</v>
      </c>
      <c r="F336" s="12" t="s">
        <v>818</v>
      </c>
      <c r="G336" s="12" t="s">
        <v>293</v>
      </c>
      <c r="H336" s="12" t="s">
        <v>287</v>
      </c>
      <c r="I336" s="12" t="s">
        <v>288</v>
      </c>
    </row>
    <row r="337" customFormat="false" ht="23.85" hidden="false" customHeight="false" outlineLevel="0" collapsed="false">
      <c r="A337" s="12" t="s">
        <v>109</v>
      </c>
      <c r="B337" s="12" t="s">
        <v>945</v>
      </c>
      <c r="C337" s="12" t="s">
        <v>282</v>
      </c>
      <c r="D337" s="12" t="s">
        <v>283</v>
      </c>
      <c r="E337" s="12" t="s">
        <v>950</v>
      </c>
      <c r="F337" s="12" t="s">
        <v>951</v>
      </c>
      <c r="G337" s="12" t="s">
        <v>293</v>
      </c>
      <c r="H337" s="12" t="s">
        <v>287</v>
      </c>
      <c r="I337" s="12" t="s">
        <v>288</v>
      </c>
    </row>
    <row r="338" customFormat="false" ht="23.85" hidden="false" customHeight="false" outlineLevel="0" collapsed="false">
      <c r="A338" s="12" t="s">
        <v>109</v>
      </c>
      <c r="B338" s="12" t="s">
        <v>945</v>
      </c>
      <c r="C338" s="12" t="s">
        <v>282</v>
      </c>
      <c r="D338" s="12" t="s">
        <v>283</v>
      </c>
      <c r="E338" s="12" t="s">
        <v>952</v>
      </c>
      <c r="F338" s="12" t="s">
        <v>953</v>
      </c>
      <c r="G338" s="12" t="s">
        <v>286</v>
      </c>
      <c r="H338" s="12" t="s">
        <v>287</v>
      </c>
      <c r="I338" s="12" t="s">
        <v>288</v>
      </c>
    </row>
    <row r="339" customFormat="false" ht="23.85" hidden="false" customHeight="false" outlineLevel="0" collapsed="false">
      <c r="A339" s="12" t="s">
        <v>109</v>
      </c>
      <c r="B339" s="12" t="s">
        <v>945</v>
      </c>
      <c r="C339" s="12" t="s">
        <v>282</v>
      </c>
      <c r="D339" s="12" t="s">
        <v>283</v>
      </c>
      <c r="E339" s="12" t="s">
        <v>954</v>
      </c>
      <c r="F339" s="12" t="s">
        <v>955</v>
      </c>
      <c r="G339" s="12" t="s">
        <v>293</v>
      </c>
      <c r="H339" s="12" t="s">
        <v>287</v>
      </c>
      <c r="I339" s="12" t="s">
        <v>288</v>
      </c>
    </row>
    <row r="340" customFormat="false" ht="23.85" hidden="false" customHeight="false" outlineLevel="0" collapsed="false">
      <c r="A340" s="12" t="s">
        <v>109</v>
      </c>
      <c r="B340" s="12" t="s">
        <v>945</v>
      </c>
      <c r="C340" s="12" t="s">
        <v>282</v>
      </c>
      <c r="D340" s="12" t="s">
        <v>283</v>
      </c>
      <c r="E340" s="12" t="s">
        <v>956</v>
      </c>
      <c r="F340" s="12" t="s">
        <v>957</v>
      </c>
      <c r="G340" s="12" t="s">
        <v>293</v>
      </c>
      <c r="H340" s="12" t="s">
        <v>287</v>
      </c>
      <c r="I340" s="12" t="s">
        <v>288</v>
      </c>
    </row>
    <row r="341" customFormat="false" ht="23.85" hidden="false" customHeight="false" outlineLevel="0" collapsed="false">
      <c r="A341" s="12" t="s">
        <v>109</v>
      </c>
      <c r="B341" s="12" t="s">
        <v>945</v>
      </c>
      <c r="C341" s="12" t="s">
        <v>282</v>
      </c>
      <c r="D341" s="12" t="s">
        <v>283</v>
      </c>
      <c r="E341" s="12" t="s">
        <v>958</v>
      </c>
      <c r="F341" s="12" t="s">
        <v>959</v>
      </c>
      <c r="G341" s="12" t="s">
        <v>286</v>
      </c>
      <c r="H341" s="12" t="s">
        <v>287</v>
      </c>
      <c r="I341" s="12" t="s">
        <v>288</v>
      </c>
    </row>
    <row r="342" customFormat="false" ht="23.85" hidden="false" customHeight="false" outlineLevel="0" collapsed="false">
      <c r="A342" s="12" t="s">
        <v>109</v>
      </c>
      <c r="B342" s="12" t="s">
        <v>945</v>
      </c>
      <c r="C342" s="12" t="s">
        <v>282</v>
      </c>
      <c r="D342" s="12" t="s">
        <v>283</v>
      </c>
      <c r="E342" s="12" t="s">
        <v>819</v>
      </c>
      <c r="F342" s="12" t="s">
        <v>820</v>
      </c>
      <c r="G342" s="12" t="s">
        <v>293</v>
      </c>
      <c r="H342" s="12" t="s">
        <v>287</v>
      </c>
      <c r="I342" s="12" t="s">
        <v>288</v>
      </c>
    </row>
    <row r="343" customFormat="false" ht="23.85" hidden="false" customHeight="false" outlineLevel="0" collapsed="false">
      <c r="A343" s="12" t="s">
        <v>109</v>
      </c>
      <c r="B343" s="12" t="s">
        <v>945</v>
      </c>
      <c r="C343" s="12" t="s">
        <v>282</v>
      </c>
      <c r="D343" s="12" t="s">
        <v>283</v>
      </c>
      <c r="E343" s="12" t="s">
        <v>960</v>
      </c>
      <c r="F343" s="12" t="s">
        <v>961</v>
      </c>
      <c r="G343" s="12" t="s">
        <v>286</v>
      </c>
      <c r="H343" s="12" t="s">
        <v>287</v>
      </c>
      <c r="I343" s="12" t="s">
        <v>288</v>
      </c>
    </row>
    <row r="344" customFormat="false" ht="23.85" hidden="false" customHeight="false" outlineLevel="0" collapsed="false">
      <c r="A344" s="12" t="s">
        <v>109</v>
      </c>
      <c r="B344" s="12" t="s">
        <v>945</v>
      </c>
      <c r="C344" s="12" t="s">
        <v>282</v>
      </c>
      <c r="D344" s="12" t="s">
        <v>283</v>
      </c>
      <c r="E344" s="12" t="s">
        <v>962</v>
      </c>
      <c r="F344" s="12" t="s">
        <v>963</v>
      </c>
      <c r="G344" s="12" t="s">
        <v>293</v>
      </c>
      <c r="H344" s="12" t="s">
        <v>287</v>
      </c>
      <c r="I344" s="12" t="s">
        <v>288</v>
      </c>
    </row>
    <row r="345" customFormat="false" ht="23.85" hidden="false" customHeight="false" outlineLevel="0" collapsed="false">
      <c r="A345" s="12" t="s">
        <v>109</v>
      </c>
      <c r="B345" s="12" t="s">
        <v>945</v>
      </c>
      <c r="C345" s="12" t="s">
        <v>282</v>
      </c>
      <c r="D345" s="12" t="s">
        <v>283</v>
      </c>
      <c r="E345" s="12" t="s">
        <v>964</v>
      </c>
      <c r="F345" s="12" t="s">
        <v>965</v>
      </c>
      <c r="G345" s="12" t="s">
        <v>293</v>
      </c>
      <c r="H345" s="12" t="s">
        <v>287</v>
      </c>
      <c r="I345" s="12" t="s">
        <v>288</v>
      </c>
    </row>
    <row r="346" customFormat="false" ht="23.85" hidden="false" customHeight="false" outlineLevel="0" collapsed="false">
      <c r="A346" s="12" t="s">
        <v>109</v>
      </c>
      <c r="B346" s="12" t="s">
        <v>945</v>
      </c>
      <c r="C346" s="12" t="s">
        <v>282</v>
      </c>
      <c r="D346" s="12" t="s">
        <v>283</v>
      </c>
      <c r="E346" s="12" t="s">
        <v>821</v>
      </c>
      <c r="F346" s="12" t="s">
        <v>822</v>
      </c>
      <c r="G346" s="12" t="s">
        <v>293</v>
      </c>
      <c r="H346" s="12" t="s">
        <v>287</v>
      </c>
      <c r="I346" s="12" t="s">
        <v>288</v>
      </c>
    </row>
    <row r="347" customFormat="false" ht="23.85" hidden="false" customHeight="false" outlineLevel="0" collapsed="false">
      <c r="A347" s="12" t="s">
        <v>109</v>
      </c>
      <c r="B347" s="12" t="s">
        <v>945</v>
      </c>
      <c r="C347" s="12" t="s">
        <v>282</v>
      </c>
      <c r="D347" s="12" t="s">
        <v>283</v>
      </c>
      <c r="E347" s="12" t="s">
        <v>966</v>
      </c>
      <c r="F347" s="12" t="s">
        <v>967</v>
      </c>
      <c r="G347" s="12" t="s">
        <v>286</v>
      </c>
      <c r="H347" s="12" t="s">
        <v>287</v>
      </c>
      <c r="I347" s="12" t="s">
        <v>288</v>
      </c>
    </row>
    <row r="348" customFormat="false" ht="23.85" hidden="false" customHeight="false" outlineLevel="0" collapsed="false">
      <c r="A348" s="12" t="s">
        <v>109</v>
      </c>
      <c r="B348" s="12" t="s">
        <v>945</v>
      </c>
      <c r="C348" s="12" t="s">
        <v>282</v>
      </c>
      <c r="D348" s="12" t="s">
        <v>283</v>
      </c>
      <c r="E348" s="12" t="s">
        <v>968</v>
      </c>
      <c r="F348" s="12" t="s">
        <v>969</v>
      </c>
      <c r="G348" s="12" t="s">
        <v>293</v>
      </c>
      <c r="H348" s="12" t="s">
        <v>287</v>
      </c>
      <c r="I348" s="12" t="s">
        <v>288</v>
      </c>
    </row>
    <row r="349" customFormat="false" ht="23.85" hidden="false" customHeight="false" outlineLevel="0" collapsed="false">
      <c r="A349" s="12" t="s">
        <v>109</v>
      </c>
      <c r="B349" s="12" t="s">
        <v>945</v>
      </c>
      <c r="C349" s="12" t="s">
        <v>282</v>
      </c>
      <c r="D349" s="12" t="s">
        <v>283</v>
      </c>
      <c r="E349" s="12" t="s">
        <v>970</v>
      </c>
      <c r="F349" s="12" t="s">
        <v>971</v>
      </c>
      <c r="G349" s="12" t="s">
        <v>293</v>
      </c>
      <c r="H349" s="12" t="s">
        <v>287</v>
      </c>
      <c r="I349" s="12" t="s">
        <v>288</v>
      </c>
    </row>
    <row r="350" customFormat="false" ht="23.85" hidden="false" customHeight="false" outlineLevel="0" collapsed="false">
      <c r="A350" s="12" t="s">
        <v>109</v>
      </c>
      <c r="B350" s="12" t="s">
        <v>945</v>
      </c>
      <c r="C350" s="12" t="s">
        <v>282</v>
      </c>
      <c r="D350" s="12" t="s">
        <v>283</v>
      </c>
      <c r="E350" s="12" t="s">
        <v>972</v>
      </c>
      <c r="F350" s="12" t="s">
        <v>973</v>
      </c>
      <c r="G350" s="12" t="s">
        <v>293</v>
      </c>
      <c r="H350" s="12" t="s">
        <v>287</v>
      </c>
      <c r="I350" s="12" t="s">
        <v>288</v>
      </c>
    </row>
    <row r="351" customFormat="false" ht="23.85" hidden="false" customHeight="false" outlineLevel="0" collapsed="false">
      <c r="A351" s="12" t="s">
        <v>109</v>
      </c>
      <c r="B351" s="12" t="s">
        <v>945</v>
      </c>
      <c r="C351" s="12" t="s">
        <v>282</v>
      </c>
      <c r="D351" s="12" t="s">
        <v>283</v>
      </c>
      <c r="E351" s="12" t="s">
        <v>974</v>
      </c>
      <c r="F351" s="12" t="s">
        <v>975</v>
      </c>
      <c r="G351" s="12" t="s">
        <v>293</v>
      </c>
      <c r="H351" s="12" t="s">
        <v>287</v>
      </c>
      <c r="I351" s="12" t="s">
        <v>288</v>
      </c>
    </row>
    <row r="352" customFormat="false" ht="23.85" hidden="false" customHeight="false" outlineLevel="0" collapsed="false">
      <c r="A352" s="12" t="s">
        <v>109</v>
      </c>
      <c r="B352" s="12" t="s">
        <v>945</v>
      </c>
      <c r="C352" s="12" t="s">
        <v>282</v>
      </c>
      <c r="D352" s="12" t="s">
        <v>283</v>
      </c>
      <c r="E352" s="12" t="s">
        <v>976</v>
      </c>
      <c r="F352" s="12" t="s">
        <v>977</v>
      </c>
      <c r="G352" s="12" t="s">
        <v>293</v>
      </c>
      <c r="H352" s="12" t="s">
        <v>287</v>
      </c>
      <c r="I352" s="12" t="s">
        <v>288</v>
      </c>
    </row>
    <row r="353" customFormat="false" ht="23.85" hidden="false" customHeight="false" outlineLevel="0" collapsed="false">
      <c r="A353" s="12" t="s">
        <v>109</v>
      </c>
      <c r="B353" s="12" t="s">
        <v>945</v>
      </c>
      <c r="C353" s="12" t="s">
        <v>282</v>
      </c>
      <c r="D353" s="12" t="s">
        <v>283</v>
      </c>
      <c r="E353" s="12" t="s">
        <v>978</v>
      </c>
      <c r="F353" s="12" t="s">
        <v>979</v>
      </c>
      <c r="G353" s="12" t="s">
        <v>286</v>
      </c>
      <c r="H353" s="12" t="s">
        <v>287</v>
      </c>
      <c r="I353" s="12" t="s">
        <v>288</v>
      </c>
    </row>
    <row r="354" customFormat="false" ht="23.85" hidden="false" customHeight="false" outlineLevel="0" collapsed="false">
      <c r="A354" s="12" t="s">
        <v>109</v>
      </c>
      <c r="B354" s="12" t="s">
        <v>945</v>
      </c>
      <c r="C354" s="12" t="s">
        <v>282</v>
      </c>
      <c r="D354" s="12" t="s">
        <v>283</v>
      </c>
      <c r="E354" s="12" t="s">
        <v>980</v>
      </c>
      <c r="F354" s="12" t="s">
        <v>981</v>
      </c>
      <c r="G354" s="12" t="s">
        <v>293</v>
      </c>
      <c r="H354" s="12" t="s">
        <v>287</v>
      </c>
      <c r="I354" s="12" t="s">
        <v>288</v>
      </c>
    </row>
    <row r="355" customFormat="false" ht="23.85" hidden="false" customHeight="false" outlineLevel="0" collapsed="false">
      <c r="A355" s="12" t="s">
        <v>109</v>
      </c>
      <c r="B355" s="12" t="s">
        <v>945</v>
      </c>
      <c r="C355" s="12" t="s">
        <v>282</v>
      </c>
      <c r="D355" s="12" t="s">
        <v>283</v>
      </c>
      <c r="E355" s="12" t="s">
        <v>982</v>
      </c>
      <c r="F355" s="12" t="s">
        <v>983</v>
      </c>
      <c r="G355" s="12" t="s">
        <v>293</v>
      </c>
      <c r="H355" s="12" t="s">
        <v>287</v>
      </c>
      <c r="I355" s="12" t="s">
        <v>288</v>
      </c>
    </row>
    <row r="356" customFormat="false" ht="23.85" hidden="false" customHeight="false" outlineLevel="0" collapsed="false">
      <c r="A356" s="12" t="s">
        <v>109</v>
      </c>
      <c r="B356" s="12" t="s">
        <v>945</v>
      </c>
      <c r="C356" s="12" t="s">
        <v>282</v>
      </c>
      <c r="D356" s="12" t="s">
        <v>283</v>
      </c>
      <c r="E356" s="12" t="s">
        <v>984</v>
      </c>
      <c r="F356" s="12" t="s">
        <v>985</v>
      </c>
      <c r="G356" s="12" t="s">
        <v>293</v>
      </c>
      <c r="H356" s="12" t="s">
        <v>287</v>
      </c>
      <c r="I356" s="12" t="s">
        <v>288</v>
      </c>
    </row>
    <row r="357" customFormat="false" ht="23.85" hidden="false" customHeight="false" outlineLevel="0" collapsed="false">
      <c r="A357" s="12" t="s">
        <v>109</v>
      </c>
      <c r="B357" s="12" t="s">
        <v>945</v>
      </c>
      <c r="C357" s="12" t="s">
        <v>282</v>
      </c>
      <c r="D357" s="12" t="s">
        <v>338</v>
      </c>
      <c r="E357" s="12" t="s">
        <v>986</v>
      </c>
      <c r="F357" s="12" t="s">
        <v>987</v>
      </c>
      <c r="G357" s="12" t="s">
        <v>293</v>
      </c>
      <c r="H357" s="12" t="s">
        <v>287</v>
      </c>
      <c r="I357" s="12" t="s">
        <v>288</v>
      </c>
    </row>
    <row r="358" customFormat="false" ht="23.85" hidden="false" customHeight="false" outlineLevel="0" collapsed="false">
      <c r="A358" s="12" t="s">
        <v>109</v>
      </c>
      <c r="B358" s="12" t="s">
        <v>945</v>
      </c>
      <c r="C358" s="12" t="s">
        <v>282</v>
      </c>
      <c r="D358" s="12" t="s">
        <v>338</v>
      </c>
      <c r="E358" s="12" t="s">
        <v>988</v>
      </c>
      <c r="F358" s="12" t="s">
        <v>989</v>
      </c>
      <c r="G358" s="12" t="s">
        <v>293</v>
      </c>
      <c r="H358" s="12" t="s">
        <v>287</v>
      </c>
      <c r="I358" s="12" t="s">
        <v>288</v>
      </c>
    </row>
    <row r="359" customFormat="false" ht="23.85" hidden="false" customHeight="false" outlineLevel="0" collapsed="false">
      <c r="A359" s="12" t="s">
        <v>109</v>
      </c>
      <c r="B359" s="12" t="s">
        <v>945</v>
      </c>
      <c r="C359" s="12" t="s">
        <v>282</v>
      </c>
      <c r="D359" s="12" t="s">
        <v>338</v>
      </c>
      <c r="E359" s="12" t="s">
        <v>990</v>
      </c>
      <c r="F359" s="12" t="s">
        <v>991</v>
      </c>
      <c r="G359" s="12" t="s">
        <v>293</v>
      </c>
      <c r="H359" s="12" t="s">
        <v>287</v>
      </c>
      <c r="I359" s="12" t="s">
        <v>288</v>
      </c>
    </row>
    <row r="360" customFormat="false" ht="23.85" hidden="false" customHeight="false" outlineLevel="0" collapsed="false">
      <c r="A360" s="12" t="s">
        <v>109</v>
      </c>
      <c r="B360" s="12" t="s">
        <v>945</v>
      </c>
      <c r="C360" s="12" t="s">
        <v>282</v>
      </c>
      <c r="D360" s="12" t="s">
        <v>338</v>
      </c>
      <c r="E360" s="12" t="s">
        <v>992</v>
      </c>
      <c r="F360" s="12" t="s">
        <v>993</v>
      </c>
      <c r="G360" s="12" t="s">
        <v>293</v>
      </c>
      <c r="H360" s="12" t="s">
        <v>287</v>
      </c>
      <c r="I360" s="12" t="s">
        <v>288</v>
      </c>
    </row>
    <row r="361" customFormat="false" ht="23.85" hidden="false" customHeight="false" outlineLevel="0" collapsed="false">
      <c r="A361" s="12" t="s">
        <v>109</v>
      </c>
      <c r="B361" s="12" t="s">
        <v>945</v>
      </c>
      <c r="C361" s="12" t="s">
        <v>282</v>
      </c>
      <c r="D361" s="12" t="s">
        <v>338</v>
      </c>
      <c r="E361" s="12" t="s">
        <v>994</v>
      </c>
      <c r="F361" s="12" t="s">
        <v>995</v>
      </c>
      <c r="G361" s="12" t="s">
        <v>293</v>
      </c>
      <c r="H361" s="12" t="s">
        <v>287</v>
      </c>
      <c r="I361" s="12" t="s">
        <v>288</v>
      </c>
    </row>
    <row r="362" customFormat="false" ht="23.85" hidden="false" customHeight="false" outlineLevel="0" collapsed="false">
      <c r="A362" s="12" t="s">
        <v>109</v>
      </c>
      <c r="B362" s="12" t="s">
        <v>945</v>
      </c>
      <c r="C362" s="12" t="s">
        <v>282</v>
      </c>
      <c r="D362" s="12" t="s">
        <v>338</v>
      </c>
      <c r="E362" s="12" t="s">
        <v>996</v>
      </c>
      <c r="F362" s="12" t="s">
        <v>997</v>
      </c>
      <c r="G362" s="12" t="s">
        <v>293</v>
      </c>
      <c r="H362" s="12" t="s">
        <v>287</v>
      </c>
      <c r="I362" s="12" t="s">
        <v>288</v>
      </c>
    </row>
    <row r="363" customFormat="false" ht="23.85" hidden="false" customHeight="false" outlineLevel="0" collapsed="false">
      <c r="A363" s="12" t="s">
        <v>109</v>
      </c>
      <c r="B363" s="12" t="s">
        <v>945</v>
      </c>
      <c r="C363" s="12" t="s">
        <v>282</v>
      </c>
      <c r="D363" s="12" t="s">
        <v>338</v>
      </c>
      <c r="E363" s="12" t="s">
        <v>998</v>
      </c>
      <c r="F363" s="12" t="s">
        <v>999</v>
      </c>
      <c r="G363" s="12" t="s">
        <v>293</v>
      </c>
      <c r="H363" s="12" t="s">
        <v>287</v>
      </c>
      <c r="I363" s="12" t="s">
        <v>288</v>
      </c>
    </row>
    <row r="364" customFormat="false" ht="23.85" hidden="false" customHeight="false" outlineLevel="0" collapsed="false">
      <c r="A364" s="12" t="s">
        <v>109</v>
      </c>
      <c r="B364" s="12" t="s">
        <v>945</v>
      </c>
      <c r="C364" s="12" t="s">
        <v>282</v>
      </c>
      <c r="D364" s="12" t="s">
        <v>338</v>
      </c>
      <c r="E364" s="12" t="s">
        <v>1000</v>
      </c>
      <c r="F364" s="12" t="s">
        <v>1001</v>
      </c>
      <c r="G364" s="12" t="s">
        <v>293</v>
      </c>
      <c r="H364" s="12" t="s">
        <v>287</v>
      </c>
      <c r="I364" s="12" t="s">
        <v>288</v>
      </c>
    </row>
    <row r="365" customFormat="false" ht="23.85" hidden="false" customHeight="false" outlineLevel="0" collapsed="false">
      <c r="A365" s="12" t="s">
        <v>109</v>
      </c>
      <c r="B365" s="12" t="s">
        <v>945</v>
      </c>
      <c r="C365" s="12" t="s">
        <v>282</v>
      </c>
      <c r="D365" s="12" t="s">
        <v>338</v>
      </c>
      <c r="E365" s="12" t="s">
        <v>1002</v>
      </c>
      <c r="F365" s="12" t="s">
        <v>1003</v>
      </c>
      <c r="G365" s="12" t="s">
        <v>293</v>
      </c>
      <c r="H365" s="12" t="s">
        <v>287</v>
      </c>
      <c r="I365" s="12" t="s">
        <v>288</v>
      </c>
    </row>
    <row r="366" customFormat="false" ht="23.85" hidden="false" customHeight="false" outlineLevel="0" collapsed="false">
      <c r="A366" s="12" t="s">
        <v>109</v>
      </c>
      <c r="B366" s="12" t="s">
        <v>945</v>
      </c>
      <c r="C366" s="12" t="s">
        <v>282</v>
      </c>
      <c r="D366" s="12" t="s">
        <v>338</v>
      </c>
      <c r="E366" s="12" t="s">
        <v>1004</v>
      </c>
      <c r="F366" s="12" t="s">
        <v>1005</v>
      </c>
      <c r="G366" s="12" t="s">
        <v>293</v>
      </c>
      <c r="H366" s="12" t="s">
        <v>287</v>
      </c>
      <c r="I366" s="12" t="s">
        <v>288</v>
      </c>
    </row>
    <row r="367" customFormat="false" ht="23.85" hidden="false" customHeight="false" outlineLevel="0" collapsed="false">
      <c r="A367" s="12" t="s">
        <v>109</v>
      </c>
      <c r="B367" s="12" t="s">
        <v>945</v>
      </c>
      <c r="C367" s="12" t="s">
        <v>282</v>
      </c>
      <c r="D367" s="12" t="s">
        <v>338</v>
      </c>
      <c r="E367" s="12" t="s">
        <v>1006</v>
      </c>
      <c r="F367" s="12" t="s">
        <v>1007</v>
      </c>
      <c r="G367" s="12" t="s">
        <v>293</v>
      </c>
      <c r="H367" s="12" t="s">
        <v>287</v>
      </c>
      <c r="I367" s="12" t="s">
        <v>288</v>
      </c>
    </row>
    <row r="368" customFormat="false" ht="23.85" hidden="false" customHeight="false" outlineLevel="0" collapsed="false">
      <c r="A368" s="12" t="s">
        <v>109</v>
      </c>
      <c r="B368" s="12" t="s">
        <v>945</v>
      </c>
      <c r="C368" s="12" t="s">
        <v>282</v>
      </c>
      <c r="D368" s="12" t="s">
        <v>338</v>
      </c>
      <c r="E368" s="12" t="s">
        <v>1008</v>
      </c>
      <c r="F368" s="12" t="s">
        <v>1009</v>
      </c>
      <c r="G368" s="12" t="s">
        <v>293</v>
      </c>
      <c r="H368" s="12" t="s">
        <v>287</v>
      </c>
      <c r="I368" s="12" t="s">
        <v>288</v>
      </c>
    </row>
    <row r="369" customFormat="false" ht="23.85" hidden="false" customHeight="false" outlineLevel="0" collapsed="false">
      <c r="A369" s="12" t="s">
        <v>109</v>
      </c>
      <c r="B369" s="12" t="s">
        <v>945</v>
      </c>
      <c r="C369" s="12" t="s">
        <v>282</v>
      </c>
      <c r="D369" s="12" t="s">
        <v>338</v>
      </c>
      <c r="E369" s="12" t="s">
        <v>1010</v>
      </c>
      <c r="F369" s="12" t="s">
        <v>1011</v>
      </c>
      <c r="G369" s="12" t="s">
        <v>293</v>
      </c>
      <c r="H369" s="12" t="s">
        <v>287</v>
      </c>
      <c r="I369" s="12" t="s">
        <v>288</v>
      </c>
    </row>
    <row r="370" customFormat="false" ht="23.85" hidden="false" customHeight="false" outlineLevel="0" collapsed="false">
      <c r="A370" s="12" t="s">
        <v>109</v>
      </c>
      <c r="B370" s="12" t="s">
        <v>945</v>
      </c>
      <c r="C370" s="12" t="s">
        <v>282</v>
      </c>
      <c r="D370" s="12" t="s">
        <v>338</v>
      </c>
      <c r="E370" s="12" t="s">
        <v>1012</v>
      </c>
      <c r="F370" s="12" t="s">
        <v>1013</v>
      </c>
      <c r="G370" s="12" t="s">
        <v>293</v>
      </c>
      <c r="H370" s="12" t="s">
        <v>287</v>
      </c>
      <c r="I370" s="12" t="s">
        <v>288</v>
      </c>
    </row>
    <row r="371" customFormat="false" ht="23.85" hidden="false" customHeight="false" outlineLevel="0" collapsed="false">
      <c r="A371" s="12" t="s">
        <v>109</v>
      </c>
      <c r="B371" s="12" t="s">
        <v>945</v>
      </c>
      <c r="C371" s="12" t="s">
        <v>282</v>
      </c>
      <c r="D371" s="12" t="s">
        <v>338</v>
      </c>
      <c r="E371" s="12" t="s">
        <v>1014</v>
      </c>
      <c r="F371" s="12" t="s">
        <v>1015</v>
      </c>
      <c r="G371" s="12" t="s">
        <v>293</v>
      </c>
      <c r="H371" s="12" t="s">
        <v>287</v>
      </c>
      <c r="I371" s="12" t="s">
        <v>288</v>
      </c>
    </row>
    <row r="372" customFormat="false" ht="23.85" hidden="false" customHeight="false" outlineLevel="0" collapsed="false">
      <c r="A372" s="12" t="s">
        <v>109</v>
      </c>
      <c r="B372" s="12" t="s">
        <v>945</v>
      </c>
      <c r="C372" s="12" t="s">
        <v>282</v>
      </c>
      <c r="D372" s="12" t="s">
        <v>338</v>
      </c>
      <c r="E372" s="12" t="s">
        <v>1016</v>
      </c>
      <c r="F372" s="12" t="s">
        <v>1017</v>
      </c>
      <c r="G372" s="12" t="s">
        <v>293</v>
      </c>
      <c r="H372" s="12" t="s">
        <v>287</v>
      </c>
      <c r="I372" s="12" t="s">
        <v>288</v>
      </c>
    </row>
    <row r="373" customFormat="false" ht="23.85" hidden="false" customHeight="false" outlineLevel="0" collapsed="false">
      <c r="A373" s="12" t="s">
        <v>109</v>
      </c>
      <c r="B373" s="12" t="s">
        <v>945</v>
      </c>
      <c r="C373" s="12" t="s">
        <v>282</v>
      </c>
      <c r="D373" s="12" t="s">
        <v>338</v>
      </c>
      <c r="E373" s="12" t="s">
        <v>1018</v>
      </c>
      <c r="F373" s="12" t="s">
        <v>1019</v>
      </c>
      <c r="G373" s="12" t="s">
        <v>293</v>
      </c>
      <c r="H373" s="12" t="s">
        <v>287</v>
      </c>
      <c r="I373" s="12" t="s">
        <v>288</v>
      </c>
    </row>
    <row r="374" customFormat="false" ht="23.85" hidden="false" customHeight="false" outlineLevel="0" collapsed="false">
      <c r="A374" s="12" t="s">
        <v>109</v>
      </c>
      <c r="B374" s="12" t="s">
        <v>945</v>
      </c>
      <c r="C374" s="12" t="s">
        <v>282</v>
      </c>
      <c r="D374" s="12" t="s">
        <v>338</v>
      </c>
      <c r="E374" s="12" t="s">
        <v>1020</v>
      </c>
      <c r="F374" s="12" t="s">
        <v>1021</v>
      </c>
      <c r="G374" s="12" t="s">
        <v>293</v>
      </c>
      <c r="H374" s="12" t="s">
        <v>287</v>
      </c>
      <c r="I374" s="12" t="s">
        <v>288</v>
      </c>
    </row>
    <row r="375" customFormat="false" ht="23.85" hidden="false" customHeight="false" outlineLevel="0" collapsed="false">
      <c r="A375" s="12" t="s">
        <v>109</v>
      </c>
      <c r="B375" s="12" t="s">
        <v>945</v>
      </c>
      <c r="C375" s="12" t="s">
        <v>282</v>
      </c>
      <c r="D375" s="12" t="s">
        <v>338</v>
      </c>
      <c r="E375" s="12" t="s">
        <v>1022</v>
      </c>
      <c r="F375" s="12" t="s">
        <v>1023</v>
      </c>
      <c r="G375" s="12" t="s">
        <v>293</v>
      </c>
      <c r="H375" s="12" t="s">
        <v>287</v>
      </c>
      <c r="I375" s="12" t="s">
        <v>288</v>
      </c>
    </row>
    <row r="376" customFormat="false" ht="23.85" hidden="false" customHeight="false" outlineLevel="0" collapsed="false">
      <c r="A376" s="12" t="s">
        <v>109</v>
      </c>
      <c r="B376" s="12" t="s">
        <v>945</v>
      </c>
      <c r="C376" s="12" t="s">
        <v>282</v>
      </c>
      <c r="D376" s="12" t="s">
        <v>338</v>
      </c>
      <c r="E376" s="12" t="s">
        <v>1024</v>
      </c>
      <c r="F376" s="12" t="s">
        <v>1025</v>
      </c>
      <c r="G376" s="12" t="s">
        <v>293</v>
      </c>
      <c r="H376" s="12" t="s">
        <v>287</v>
      </c>
      <c r="I376" s="12" t="s">
        <v>288</v>
      </c>
    </row>
    <row r="377" customFormat="false" ht="23.85" hidden="false" customHeight="false" outlineLevel="0" collapsed="false">
      <c r="A377" s="12" t="s">
        <v>109</v>
      </c>
      <c r="B377" s="12" t="s">
        <v>945</v>
      </c>
      <c r="C377" s="12" t="s">
        <v>282</v>
      </c>
      <c r="D377" s="12" t="s">
        <v>338</v>
      </c>
      <c r="E377" s="12" t="s">
        <v>1026</v>
      </c>
      <c r="F377" s="12" t="s">
        <v>1027</v>
      </c>
      <c r="G377" s="12" t="s">
        <v>293</v>
      </c>
      <c r="H377" s="12" t="s">
        <v>287</v>
      </c>
      <c r="I377" s="12" t="s">
        <v>288</v>
      </c>
    </row>
    <row r="378" customFormat="false" ht="23.85" hidden="false" customHeight="false" outlineLevel="0" collapsed="false">
      <c r="A378" s="12" t="s">
        <v>109</v>
      </c>
      <c r="B378" s="12" t="s">
        <v>945</v>
      </c>
      <c r="C378" s="12" t="s">
        <v>282</v>
      </c>
      <c r="D378" s="12" t="s">
        <v>338</v>
      </c>
      <c r="E378" s="12" t="s">
        <v>1028</v>
      </c>
      <c r="F378" s="12" t="s">
        <v>1029</v>
      </c>
      <c r="G378" s="12" t="s">
        <v>293</v>
      </c>
      <c r="H378" s="12" t="s">
        <v>287</v>
      </c>
      <c r="I378" s="12" t="s">
        <v>288</v>
      </c>
    </row>
    <row r="379" customFormat="false" ht="23.85" hidden="false" customHeight="false" outlineLevel="0" collapsed="false">
      <c r="A379" s="12" t="s">
        <v>109</v>
      </c>
      <c r="B379" s="12" t="s">
        <v>945</v>
      </c>
      <c r="C379" s="12" t="s">
        <v>282</v>
      </c>
      <c r="D379" s="12" t="s">
        <v>338</v>
      </c>
      <c r="E379" s="12" t="s">
        <v>1030</v>
      </c>
      <c r="F379" s="12" t="s">
        <v>1031</v>
      </c>
      <c r="G379" s="12" t="s">
        <v>293</v>
      </c>
      <c r="H379" s="12" t="s">
        <v>287</v>
      </c>
      <c r="I379" s="12" t="s">
        <v>288</v>
      </c>
    </row>
    <row r="380" customFormat="false" ht="23.85" hidden="false" customHeight="false" outlineLevel="0" collapsed="false">
      <c r="A380" s="12" t="s">
        <v>109</v>
      </c>
      <c r="B380" s="12" t="s">
        <v>945</v>
      </c>
      <c r="C380" s="12" t="s">
        <v>282</v>
      </c>
      <c r="D380" s="12" t="s">
        <v>338</v>
      </c>
      <c r="E380" s="12" t="s">
        <v>1032</v>
      </c>
      <c r="F380" s="12" t="s">
        <v>1033</v>
      </c>
      <c r="G380" s="12" t="s">
        <v>293</v>
      </c>
      <c r="H380" s="12" t="s">
        <v>287</v>
      </c>
      <c r="I380" s="12" t="s">
        <v>288</v>
      </c>
    </row>
    <row r="381" customFormat="false" ht="23.85" hidden="false" customHeight="false" outlineLevel="0" collapsed="false">
      <c r="A381" s="12" t="s">
        <v>109</v>
      </c>
      <c r="B381" s="12" t="s">
        <v>945</v>
      </c>
      <c r="C381" s="12" t="s">
        <v>282</v>
      </c>
      <c r="D381" s="12" t="s">
        <v>338</v>
      </c>
      <c r="E381" s="12" t="s">
        <v>1034</v>
      </c>
      <c r="F381" s="12" t="s">
        <v>1035</v>
      </c>
      <c r="G381" s="12" t="s">
        <v>293</v>
      </c>
      <c r="H381" s="12" t="s">
        <v>287</v>
      </c>
      <c r="I381" s="12" t="s">
        <v>288</v>
      </c>
    </row>
    <row r="382" customFormat="false" ht="23.85" hidden="false" customHeight="false" outlineLevel="0" collapsed="false">
      <c r="A382" s="12" t="s">
        <v>109</v>
      </c>
      <c r="B382" s="12" t="s">
        <v>945</v>
      </c>
      <c r="C382" s="12" t="s">
        <v>282</v>
      </c>
      <c r="D382" s="12" t="s">
        <v>338</v>
      </c>
      <c r="E382" s="12" t="s">
        <v>1036</v>
      </c>
      <c r="F382" s="12" t="s">
        <v>1037</v>
      </c>
      <c r="G382" s="12" t="s">
        <v>293</v>
      </c>
      <c r="H382" s="12" t="s">
        <v>287</v>
      </c>
      <c r="I382" s="12" t="s">
        <v>288</v>
      </c>
    </row>
    <row r="383" customFormat="false" ht="23.85" hidden="false" customHeight="false" outlineLevel="0" collapsed="false">
      <c r="A383" s="12" t="s">
        <v>109</v>
      </c>
      <c r="B383" s="12" t="s">
        <v>945</v>
      </c>
      <c r="C383" s="12" t="s">
        <v>282</v>
      </c>
      <c r="D383" s="12" t="s">
        <v>338</v>
      </c>
      <c r="E383" s="12" t="s">
        <v>1038</v>
      </c>
      <c r="F383" s="12" t="s">
        <v>1039</v>
      </c>
      <c r="G383" s="12" t="s">
        <v>293</v>
      </c>
      <c r="H383" s="12" t="s">
        <v>287</v>
      </c>
      <c r="I383" s="12" t="s">
        <v>288</v>
      </c>
    </row>
    <row r="384" customFormat="false" ht="23.85" hidden="false" customHeight="false" outlineLevel="0" collapsed="false">
      <c r="A384" s="12" t="s">
        <v>109</v>
      </c>
      <c r="B384" s="12" t="s">
        <v>945</v>
      </c>
      <c r="C384" s="12" t="s">
        <v>282</v>
      </c>
      <c r="D384" s="12" t="s">
        <v>338</v>
      </c>
      <c r="E384" s="12" t="s">
        <v>1040</v>
      </c>
      <c r="F384" s="12" t="s">
        <v>1041</v>
      </c>
      <c r="G384" s="12" t="s">
        <v>293</v>
      </c>
      <c r="H384" s="12" t="s">
        <v>287</v>
      </c>
      <c r="I384" s="12" t="s">
        <v>288</v>
      </c>
    </row>
    <row r="385" customFormat="false" ht="23.85" hidden="false" customHeight="false" outlineLevel="0" collapsed="false">
      <c r="A385" s="12" t="s">
        <v>109</v>
      </c>
      <c r="B385" s="12" t="s">
        <v>945</v>
      </c>
      <c r="C385" s="12" t="s">
        <v>282</v>
      </c>
      <c r="D385" s="12" t="s">
        <v>338</v>
      </c>
      <c r="E385" s="12" t="s">
        <v>1042</v>
      </c>
      <c r="F385" s="12" t="s">
        <v>1043</v>
      </c>
      <c r="G385" s="12" t="s">
        <v>293</v>
      </c>
      <c r="H385" s="12" t="s">
        <v>287</v>
      </c>
      <c r="I385" s="12" t="s">
        <v>288</v>
      </c>
    </row>
    <row r="386" customFormat="false" ht="23.85" hidden="false" customHeight="false" outlineLevel="0" collapsed="false">
      <c r="A386" s="12" t="s">
        <v>109</v>
      </c>
      <c r="B386" s="12" t="s">
        <v>945</v>
      </c>
      <c r="C386" s="12" t="s">
        <v>282</v>
      </c>
      <c r="D386" s="12" t="s">
        <v>338</v>
      </c>
      <c r="E386" s="12" t="s">
        <v>1044</v>
      </c>
      <c r="F386" s="12" t="s">
        <v>1045</v>
      </c>
      <c r="G386" s="12" t="s">
        <v>293</v>
      </c>
      <c r="H386" s="12" t="s">
        <v>287</v>
      </c>
      <c r="I386" s="12" t="s">
        <v>288</v>
      </c>
    </row>
    <row r="387" customFormat="false" ht="23.85" hidden="false" customHeight="false" outlineLevel="0" collapsed="false">
      <c r="A387" s="12" t="s">
        <v>109</v>
      </c>
      <c r="B387" s="12" t="s">
        <v>945</v>
      </c>
      <c r="C387" s="12" t="s">
        <v>282</v>
      </c>
      <c r="D387" s="12" t="s">
        <v>338</v>
      </c>
      <c r="E387" s="12" t="s">
        <v>1046</v>
      </c>
      <c r="F387" s="12" t="s">
        <v>1047</v>
      </c>
      <c r="G387" s="12" t="s">
        <v>293</v>
      </c>
      <c r="H387" s="12" t="s">
        <v>287</v>
      </c>
      <c r="I387" s="12" t="s">
        <v>288</v>
      </c>
    </row>
    <row r="388" customFormat="false" ht="23.85" hidden="false" customHeight="false" outlineLevel="0" collapsed="false">
      <c r="A388" s="12" t="s">
        <v>109</v>
      </c>
      <c r="B388" s="12" t="s">
        <v>945</v>
      </c>
      <c r="C388" s="12" t="s">
        <v>282</v>
      </c>
      <c r="D388" s="12" t="s">
        <v>338</v>
      </c>
      <c r="E388" s="12" t="s">
        <v>1048</v>
      </c>
      <c r="F388" s="12" t="s">
        <v>1049</v>
      </c>
      <c r="G388" s="12" t="s">
        <v>293</v>
      </c>
      <c r="H388" s="12" t="s">
        <v>287</v>
      </c>
      <c r="I388" s="12" t="s">
        <v>288</v>
      </c>
    </row>
    <row r="389" customFormat="false" ht="23.85" hidden="false" customHeight="false" outlineLevel="0" collapsed="false">
      <c r="A389" s="12" t="s">
        <v>109</v>
      </c>
      <c r="B389" s="12" t="s">
        <v>945</v>
      </c>
      <c r="C389" s="12" t="s">
        <v>282</v>
      </c>
      <c r="D389" s="12" t="s">
        <v>338</v>
      </c>
      <c r="E389" s="12" t="s">
        <v>1050</v>
      </c>
      <c r="F389" s="12" t="s">
        <v>1051</v>
      </c>
      <c r="G389" s="12" t="s">
        <v>293</v>
      </c>
      <c r="H389" s="12" t="s">
        <v>287</v>
      </c>
      <c r="I389" s="12" t="s">
        <v>288</v>
      </c>
    </row>
    <row r="390" customFormat="false" ht="23.85" hidden="false" customHeight="false" outlineLevel="0" collapsed="false">
      <c r="A390" s="12" t="s">
        <v>109</v>
      </c>
      <c r="B390" s="12" t="s">
        <v>1052</v>
      </c>
      <c r="C390" s="12" t="s">
        <v>282</v>
      </c>
      <c r="D390" s="12" t="s">
        <v>283</v>
      </c>
      <c r="E390" s="12" t="s">
        <v>1053</v>
      </c>
      <c r="F390" s="12" t="s">
        <v>1054</v>
      </c>
      <c r="G390" s="12" t="s">
        <v>286</v>
      </c>
      <c r="H390" s="12" t="s">
        <v>287</v>
      </c>
      <c r="I390" s="12" t="s">
        <v>288</v>
      </c>
    </row>
    <row r="391" customFormat="false" ht="23.85" hidden="false" customHeight="false" outlineLevel="0" collapsed="false">
      <c r="A391" s="12" t="s">
        <v>109</v>
      </c>
      <c r="B391" s="12" t="s">
        <v>1052</v>
      </c>
      <c r="C391" s="12" t="s">
        <v>282</v>
      </c>
      <c r="D391" s="12" t="s">
        <v>283</v>
      </c>
      <c r="E391" s="12" t="s">
        <v>1055</v>
      </c>
      <c r="F391" s="12" t="s">
        <v>1056</v>
      </c>
      <c r="G391" s="12" t="s">
        <v>286</v>
      </c>
      <c r="H391" s="12" t="s">
        <v>287</v>
      </c>
      <c r="I391" s="12" t="s">
        <v>288</v>
      </c>
    </row>
    <row r="392" customFormat="false" ht="23.85" hidden="false" customHeight="false" outlineLevel="0" collapsed="false">
      <c r="A392" s="12" t="s">
        <v>109</v>
      </c>
      <c r="B392" s="12" t="s">
        <v>1052</v>
      </c>
      <c r="C392" s="12" t="s">
        <v>282</v>
      </c>
      <c r="D392" s="12" t="s">
        <v>283</v>
      </c>
      <c r="E392" s="12" t="s">
        <v>1057</v>
      </c>
      <c r="F392" s="12" t="s">
        <v>1058</v>
      </c>
      <c r="G392" s="12" t="s">
        <v>293</v>
      </c>
      <c r="H392" s="12" t="s">
        <v>287</v>
      </c>
      <c r="I392" s="12" t="s">
        <v>288</v>
      </c>
    </row>
    <row r="393" customFormat="false" ht="23.85" hidden="false" customHeight="false" outlineLevel="0" collapsed="false">
      <c r="A393" s="12" t="s">
        <v>109</v>
      </c>
      <c r="B393" s="12" t="s">
        <v>1052</v>
      </c>
      <c r="C393" s="12" t="s">
        <v>282</v>
      </c>
      <c r="D393" s="12" t="s">
        <v>283</v>
      </c>
      <c r="E393" s="12" t="s">
        <v>1059</v>
      </c>
      <c r="F393" s="12" t="s">
        <v>1060</v>
      </c>
      <c r="G393" s="12" t="s">
        <v>293</v>
      </c>
      <c r="H393" s="12" t="s">
        <v>287</v>
      </c>
      <c r="I393" s="12" t="s">
        <v>288</v>
      </c>
    </row>
    <row r="394" customFormat="false" ht="23.85" hidden="false" customHeight="false" outlineLevel="0" collapsed="false">
      <c r="A394" s="12" t="s">
        <v>109</v>
      </c>
      <c r="B394" s="12" t="s">
        <v>1052</v>
      </c>
      <c r="C394" s="12" t="s">
        <v>282</v>
      </c>
      <c r="D394" s="12" t="s">
        <v>283</v>
      </c>
      <c r="E394" s="12" t="s">
        <v>1061</v>
      </c>
      <c r="F394" s="12" t="s">
        <v>1062</v>
      </c>
      <c r="G394" s="12" t="s">
        <v>293</v>
      </c>
      <c r="H394" s="12" t="s">
        <v>287</v>
      </c>
      <c r="I394" s="12" t="s">
        <v>288</v>
      </c>
    </row>
    <row r="395" customFormat="false" ht="23.85" hidden="false" customHeight="false" outlineLevel="0" collapsed="false">
      <c r="A395" s="12" t="s">
        <v>109</v>
      </c>
      <c r="B395" s="12" t="s">
        <v>1052</v>
      </c>
      <c r="C395" s="12" t="s">
        <v>282</v>
      </c>
      <c r="D395" s="12" t="s">
        <v>283</v>
      </c>
      <c r="E395" s="12" t="s">
        <v>1063</v>
      </c>
      <c r="F395" s="12" t="s">
        <v>1064</v>
      </c>
      <c r="G395" s="12" t="s">
        <v>293</v>
      </c>
      <c r="H395" s="12" t="s">
        <v>287</v>
      </c>
      <c r="I395" s="12" t="s">
        <v>288</v>
      </c>
    </row>
    <row r="396" customFormat="false" ht="23.85" hidden="false" customHeight="false" outlineLevel="0" collapsed="false">
      <c r="A396" s="12" t="s">
        <v>109</v>
      </c>
      <c r="B396" s="12" t="s">
        <v>1052</v>
      </c>
      <c r="C396" s="12" t="s">
        <v>282</v>
      </c>
      <c r="D396" s="12" t="s">
        <v>283</v>
      </c>
      <c r="E396" s="12" t="s">
        <v>1065</v>
      </c>
      <c r="F396" s="12" t="s">
        <v>1066</v>
      </c>
      <c r="G396" s="12" t="s">
        <v>293</v>
      </c>
      <c r="H396" s="12" t="s">
        <v>287</v>
      </c>
      <c r="I396" s="12" t="s">
        <v>288</v>
      </c>
    </row>
    <row r="397" customFormat="false" ht="23.85" hidden="false" customHeight="false" outlineLevel="0" collapsed="false">
      <c r="A397" s="12" t="s">
        <v>109</v>
      </c>
      <c r="B397" s="12" t="s">
        <v>1052</v>
      </c>
      <c r="C397" s="12" t="s">
        <v>282</v>
      </c>
      <c r="D397" s="12" t="s">
        <v>283</v>
      </c>
      <c r="E397" s="12" t="s">
        <v>1067</v>
      </c>
      <c r="F397" s="12" t="s">
        <v>1068</v>
      </c>
      <c r="G397" s="12" t="s">
        <v>286</v>
      </c>
      <c r="H397" s="12" t="s">
        <v>287</v>
      </c>
      <c r="I397" s="12" t="s">
        <v>288</v>
      </c>
    </row>
    <row r="398" customFormat="false" ht="23.85" hidden="false" customHeight="false" outlineLevel="0" collapsed="false">
      <c r="A398" s="12" t="s">
        <v>109</v>
      </c>
      <c r="B398" s="12" t="s">
        <v>1052</v>
      </c>
      <c r="C398" s="12" t="s">
        <v>282</v>
      </c>
      <c r="D398" s="12" t="s">
        <v>283</v>
      </c>
      <c r="E398" s="12" t="s">
        <v>1069</v>
      </c>
      <c r="F398" s="12" t="s">
        <v>1070</v>
      </c>
      <c r="G398" s="12" t="s">
        <v>293</v>
      </c>
      <c r="H398" s="12" t="s">
        <v>287</v>
      </c>
      <c r="I398" s="12" t="s">
        <v>288</v>
      </c>
    </row>
    <row r="399" customFormat="false" ht="23.85" hidden="false" customHeight="false" outlineLevel="0" collapsed="false">
      <c r="A399" s="12" t="s">
        <v>109</v>
      </c>
      <c r="B399" s="12" t="s">
        <v>1052</v>
      </c>
      <c r="C399" s="12" t="s">
        <v>282</v>
      </c>
      <c r="D399" s="12" t="s">
        <v>283</v>
      </c>
      <c r="E399" s="12" t="s">
        <v>1071</v>
      </c>
      <c r="F399" s="12" t="s">
        <v>1072</v>
      </c>
      <c r="G399" s="12" t="s">
        <v>293</v>
      </c>
      <c r="H399" s="12" t="s">
        <v>287</v>
      </c>
      <c r="I399" s="12" t="s">
        <v>288</v>
      </c>
    </row>
    <row r="400" customFormat="false" ht="23.85" hidden="false" customHeight="false" outlineLevel="0" collapsed="false">
      <c r="A400" s="12" t="s">
        <v>109</v>
      </c>
      <c r="B400" s="12" t="s">
        <v>1052</v>
      </c>
      <c r="C400" s="12" t="s">
        <v>282</v>
      </c>
      <c r="D400" s="12" t="s">
        <v>283</v>
      </c>
      <c r="E400" s="12" t="s">
        <v>1073</v>
      </c>
      <c r="F400" s="12" t="s">
        <v>1074</v>
      </c>
      <c r="G400" s="12" t="s">
        <v>293</v>
      </c>
      <c r="H400" s="12" t="s">
        <v>287</v>
      </c>
      <c r="I400" s="12" t="s">
        <v>288</v>
      </c>
    </row>
    <row r="401" customFormat="false" ht="23.85" hidden="false" customHeight="false" outlineLevel="0" collapsed="false">
      <c r="A401" s="12" t="s">
        <v>109</v>
      </c>
      <c r="B401" s="12" t="s">
        <v>1052</v>
      </c>
      <c r="C401" s="12" t="s">
        <v>282</v>
      </c>
      <c r="D401" s="12" t="s">
        <v>283</v>
      </c>
      <c r="E401" s="12" t="s">
        <v>1075</v>
      </c>
      <c r="F401" s="12" t="s">
        <v>1076</v>
      </c>
      <c r="G401" s="12" t="s">
        <v>293</v>
      </c>
      <c r="H401" s="12" t="s">
        <v>287</v>
      </c>
      <c r="I401" s="12" t="s">
        <v>288</v>
      </c>
    </row>
    <row r="402" customFormat="false" ht="23.85" hidden="false" customHeight="false" outlineLevel="0" collapsed="false">
      <c r="A402" s="12" t="s">
        <v>109</v>
      </c>
      <c r="B402" s="12" t="s">
        <v>1052</v>
      </c>
      <c r="C402" s="12" t="s">
        <v>282</v>
      </c>
      <c r="D402" s="12" t="s">
        <v>283</v>
      </c>
      <c r="E402" s="12" t="s">
        <v>1077</v>
      </c>
      <c r="F402" s="12" t="s">
        <v>1078</v>
      </c>
      <c r="G402" s="12" t="s">
        <v>293</v>
      </c>
      <c r="H402" s="12" t="s">
        <v>287</v>
      </c>
      <c r="I402" s="12" t="s">
        <v>288</v>
      </c>
    </row>
    <row r="403" customFormat="false" ht="23.85" hidden="false" customHeight="false" outlineLevel="0" collapsed="false">
      <c r="A403" s="12" t="s">
        <v>109</v>
      </c>
      <c r="B403" s="12" t="s">
        <v>1052</v>
      </c>
      <c r="C403" s="12" t="s">
        <v>282</v>
      </c>
      <c r="D403" s="12" t="s">
        <v>283</v>
      </c>
      <c r="E403" s="12" t="s">
        <v>1079</v>
      </c>
      <c r="F403" s="12" t="s">
        <v>1080</v>
      </c>
      <c r="G403" s="12" t="s">
        <v>286</v>
      </c>
      <c r="H403" s="12" t="s">
        <v>287</v>
      </c>
      <c r="I403" s="12" t="s">
        <v>288</v>
      </c>
    </row>
    <row r="404" customFormat="false" ht="23.85" hidden="false" customHeight="false" outlineLevel="0" collapsed="false">
      <c r="A404" s="12" t="s">
        <v>109</v>
      </c>
      <c r="B404" s="12" t="s">
        <v>1052</v>
      </c>
      <c r="C404" s="12" t="s">
        <v>282</v>
      </c>
      <c r="D404" s="12" t="s">
        <v>283</v>
      </c>
      <c r="E404" s="12" t="s">
        <v>1081</v>
      </c>
      <c r="F404" s="12" t="s">
        <v>1082</v>
      </c>
      <c r="G404" s="12" t="s">
        <v>293</v>
      </c>
      <c r="H404" s="12" t="s">
        <v>287</v>
      </c>
      <c r="I404" s="12" t="s">
        <v>288</v>
      </c>
    </row>
    <row r="405" customFormat="false" ht="23.85" hidden="false" customHeight="false" outlineLevel="0" collapsed="false">
      <c r="A405" s="12" t="s">
        <v>109</v>
      </c>
      <c r="B405" s="12" t="s">
        <v>1052</v>
      </c>
      <c r="C405" s="12" t="s">
        <v>282</v>
      </c>
      <c r="D405" s="12" t="s">
        <v>283</v>
      </c>
      <c r="E405" s="12" t="s">
        <v>1083</v>
      </c>
      <c r="F405" s="12" t="s">
        <v>1084</v>
      </c>
      <c r="G405" s="12" t="s">
        <v>293</v>
      </c>
      <c r="H405" s="12" t="s">
        <v>287</v>
      </c>
      <c r="I405" s="12" t="s">
        <v>288</v>
      </c>
    </row>
    <row r="406" customFormat="false" ht="23.85" hidden="false" customHeight="false" outlineLevel="0" collapsed="false">
      <c r="A406" s="12" t="s">
        <v>109</v>
      </c>
      <c r="B406" s="12" t="s">
        <v>1052</v>
      </c>
      <c r="C406" s="12" t="s">
        <v>282</v>
      </c>
      <c r="D406" s="12" t="s">
        <v>283</v>
      </c>
      <c r="E406" s="12" t="s">
        <v>1085</v>
      </c>
      <c r="F406" s="12" t="s">
        <v>1086</v>
      </c>
      <c r="G406" s="12" t="s">
        <v>293</v>
      </c>
      <c r="H406" s="12" t="s">
        <v>287</v>
      </c>
      <c r="I406" s="12" t="s">
        <v>288</v>
      </c>
    </row>
    <row r="407" customFormat="false" ht="23.85" hidden="false" customHeight="false" outlineLevel="0" collapsed="false">
      <c r="A407" s="12" t="s">
        <v>109</v>
      </c>
      <c r="B407" s="12" t="s">
        <v>1052</v>
      </c>
      <c r="C407" s="12" t="s">
        <v>282</v>
      </c>
      <c r="D407" s="12" t="s">
        <v>283</v>
      </c>
      <c r="E407" s="12" t="s">
        <v>1087</v>
      </c>
      <c r="F407" s="12" t="s">
        <v>1088</v>
      </c>
      <c r="G407" s="12" t="s">
        <v>293</v>
      </c>
      <c r="H407" s="12" t="s">
        <v>287</v>
      </c>
      <c r="I407" s="12" t="s">
        <v>288</v>
      </c>
    </row>
    <row r="408" customFormat="false" ht="23.85" hidden="false" customHeight="false" outlineLevel="0" collapsed="false">
      <c r="A408" s="12" t="s">
        <v>109</v>
      </c>
      <c r="B408" s="12" t="s">
        <v>1052</v>
      </c>
      <c r="C408" s="12" t="s">
        <v>282</v>
      </c>
      <c r="D408" s="12" t="s">
        <v>283</v>
      </c>
      <c r="E408" s="12" t="s">
        <v>1089</v>
      </c>
      <c r="F408" s="12" t="s">
        <v>1090</v>
      </c>
      <c r="G408" s="12" t="s">
        <v>293</v>
      </c>
      <c r="H408" s="12" t="s">
        <v>287</v>
      </c>
      <c r="I408" s="12" t="s">
        <v>288</v>
      </c>
    </row>
    <row r="409" customFormat="false" ht="23.85" hidden="false" customHeight="false" outlineLevel="0" collapsed="false">
      <c r="A409" s="12" t="s">
        <v>109</v>
      </c>
      <c r="B409" s="12" t="s">
        <v>1052</v>
      </c>
      <c r="C409" s="12" t="s">
        <v>282</v>
      </c>
      <c r="D409" s="12" t="s">
        <v>283</v>
      </c>
      <c r="E409" s="12" t="s">
        <v>1091</v>
      </c>
      <c r="F409" s="12" t="s">
        <v>1092</v>
      </c>
      <c r="G409" s="12" t="s">
        <v>286</v>
      </c>
      <c r="H409" s="12" t="s">
        <v>287</v>
      </c>
      <c r="I409" s="12" t="s">
        <v>288</v>
      </c>
    </row>
    <row r="410" customFormat="false" ht="23.85" hidden="false" customHeight="false" outlineLevel="0" collapsed="false">
      <c r="A410" s="12" t="s">
        <v>109</v>
      </c>
      <c r="B410" s="12" t="s">
        <v>1052</v>
      </c>
      <c r="C410" s="12" t="s">
        <v>282</v>
      </c>
      <c r="D410" s="12" t="s">
        <v>283</v>
      </c>
      <c r="E410" s="12" t="s">
        <v>1093</v>
      </c>
      <c r="F410" s="12" t="s">
        <v>1094</v>
      </c>
      <c r="G410" s="12" t="s">
        <v>293</v>
      </c>
      <c r="H410" s="12" t="s">
        <v>287</v>
      </c>
      <c r="I410" s="12" t="s">
        <v>288</v>
      </c>
    </row>
    <row r="411" customFormat="false" ht="23.85" hidden="false" customHeight="false" outlineLevel="0" collapsed="false">
      <c r="A411" s="12" t="s">
        <v>109</v>
      </c>
      <c r="B411" s="12" t="s">
        <v>1052</v>
      </c>
      <c r="C411" s="12" t="s">
        <v>282</v>
      </c>
      <c r="D411" s="12" t="s">
        <v>283</v>
      </c>
      <c r="E411" s="12" t="s">
        <v>1095</v>
      </c>
      <c r="F411" s="12" t="s">
        <v>1096</v>
      </c>
      <c r="G411" s="12" t="s">
        <v>293</v>
      </c>
      <c r="H411" s="12" t="s">
        <v>287</v>
      </c>
      <c r="I411" s="12" t="s">
        <v>288</v>
      </c>
    </row>
    <row r="412" customFormat="false" ht="23.85" hidden="false" customHeight="false" outlineLevel="0" collapsed="false">
      <c r="A412" s="12" t="s">
        <v>109</v>
      </c>
      <c r="B412" s="12" t="s">
        <v>1052</v>
      </c>
      <c r="C412" s="12" t="s">
        <v>282</v>
      </c>
      <c r="D412" s="12" t="s">
        <v>283</v>
      </c>
      <c r="E412" s="12" t="s">
        <v>1097</v>
      </c>
      <c r="F412" s="12" t="s">
        <v>1098</v>
      </c>
      <c r="G412" s="12" t="s">
        <v>293</v>
      </c>
      <c r="H412" s="12" t="s">
        <v>287</v>
      </c>
      <c r="I412" s="12" t="s">
        <v>288</v>
      </c>
    </row>
    <row r="413" customFormat="false" ht="23.85" hidden="false" customHeight="false" outlineLevel="0" collapsed="false">
      <c r="A413" s="12" t="s">
        <v>109</v>
      </c>
      <c r="B413" s="12" t="s">
        <v>1052</v>
      </c>
      <c r="C413" s="12" t="s">
        <v>282</v>
      </c>
      <c r="D413" s="12" t="s">
        <v>283</v>
      </c>
      <c r="E413" s="12" t="s">
        <v>1099</v>
      </c>
      <c r="F413" s="12" t="s">
        <v>1100</v>
      </c>
      <c r="G413" s="12" t="s">
        <v>293</v>
      </c>
      <c r="H413" s="12" t="s">
        <v>287</v>
      </c>
      <c r="I413" s="12" t="s">
        <v>288</v>
      </c>
    </row>
    <row r="414" customFormat="false" ht="23.85" hidden="false" customHeight="false" outlineLevel="0" collapsed="false">
      <c r="A414" s="12" t="s">
        <v>109</v>
      </c>
      <c r="B414" s="12" t="s">
        <v>1052</v>
      </c>
      <c r="C414" s="12" t="s">
        <v>282</v>
      </c>
      <c r="D414" s="12" t="s">
        <v>283</v>
      </c>
      <c r="E414" s="12" t="s">
        <v>1101</v>
      </c>
      <c r="F414" s="12" t="s">
        <v>1102</v>
      </c>
      <c r="G414" s="12" t="s">
        <v>293</v>
      </c>
      <c r="H414" s="12" t="s">
        <v>287</v>
      </c>
      <c r="I414" s="12" t="s">
        <v>288</v>
      </c>
    </row>
    <row r="415" customFormat="false" ht="23.85" hidden="false" customHeight="false" outlineLevel="0" collapsed="false">
      <c r="A415" s="12" t="s">
        <v>109</v>
      </c>
      <c r="B415" s="12" t="s">
        <v>1052</v>
      </c>
      <c r="C415" s="12" t="s">
        <v>282</v>
      </c>
      <c r="D415" s="12" t="s">
        <v>283</v>
      </c>
      <c r="E415" s="12" t="s">
        <v>1103</v>
      </c>
      <c r="F415" s="12" t="s">
        <v>1104</v>
      </c>
      <c r="G415" s="12" t="s">
        <v>293</v>
      </c>
      <c r="H415" s="12" t="s">
        <v>287</v>
      </c>
      <c r="I415" s="12" t="s">
        <v>288</v>
      </c>
    </row>
    <row r="416" customFormat="false" ht="23.85" hidden="false" customHeight="false" outlineLevel="0" collapsed="false">
      <c r="A416" s="12" t="s">
        <v>109</v>
      </c>
      <c r="B416" s="12" t="s">
        <v>1052</v>
      </c>
      <c r="C416" s="12" t="s">
        <v>282</v>
      </c>
      <c r="D416" s="12" t="s">
        <v>283</v>
      </c>
      <c r="E416" s="12" t="s">
        <v>1105</v>
      </c>
      <c r="F416" s="12" t="s">
        <v>1106</v>
      </c>
      <c r="G416" s="12" t="s">
        <v>293</v>
      </c>
      <c r="H416" s="12" t="s">
        <v>287</v>
      </c>
      <c r="I416" s="12" t="s">
        <v>288</v>
      </c>
    </row>
    <row r="417" customFormat="false" ht="23.85" hidden="false" customHeight="false" outlineLevel="0" collapsed="false">
      <c r="A417" s="12" t="s">
        <v>109</v>
      </c>
      <c r="B417" s="12" t="s">
        <v>1052</v>
      </c>
      <c r="C417" s="12" t="s">
        <v>282</v>
      </c>
      <c r="D417" s="12" t="s">
        <v>283</v>
      </c>
      <c r="E417" s="12" t="s">
        <v>1107</v>
      </c>
      <c r="F417" s="12" t="s">
        <v>1108</v>
      </c>
      <c r="G417" s="12" t="s">
        <v>286</v>
      </c>
      <c r="H417" s="12" t="s">
        <v>287</v>
      </c>
      <c r="I417" s="12" t="s">
        <v>288</v>
      </c>
    </row>
    <row r="418" customFormat="false" ht="23.85" hidden="false" customHeight="false" outlineLevel="0" collapsed="false">
      <c r="A418" s="12" t="s">
        <v>109</v>
      </c>
      <c r="B418" s="12" t="s">
        <v>1052</v>
      </c>
      <c r="C418" s="12" t="s">
        <v>282</v>
      </c>
      <c r="D418" s="12" t="s">
        <v>283</v>
      </c>
      <c r="E418" s="12" t="s">
        <v>1109</v>
      </c>
      <c r="F418" s="12" t="s">
        <v>1110</v>
      </c>
      <c r="G418" s="12" t="s">
        <v>293</v>
      </c>
      <c r="H418" s="12" t="s">
        <v>287</v>
      </c>
      <c r="I418" s="12" t="s">
        <v>288</v>
      </c>
    </row>
    <row r="419" customFormat="false" ht="23.85" hidden="false" customHeight="false" outlineLevel="0" collapsed="false">
      <c r="A419" s="12" t="s">
        <v>109</v>
      </c>
      <c r="B419" s="12" t="s">
        <v>1052</v>
      </c>
      <c r="C419" s="12" t="s">
        <v>282</v>
      </c>
      <c r="D419" s="12" t="s">
        <v>283</v>
      </c>
      <c r="E419" s="12" t="s">
        <v>1111</v>
      </c>
      <c r="F419" s="12" t="s">
        <v>1112</v>
      </c>
      <c r="G419" s="12" t="s">
        <v>293</v>
      </c>
      <c r="H419" s="12" t="s">
        <v>287</v>
      </c>
      <c r="I419" s="12" t="s">
        <v>288</v>
      </c>
    </row>
    <row r="420" customFormat="false" ht="23.85" hidden="false" customHeight="false" outlineLevel="0" collapsed="false">
      <c r="A420" s="12" t="s">
        <v>109</v>
      </c>
      <c r="B420" s="12" t="s">
        <v>1052</v>
      </c>
      <c r="C420" s="12" t="s">
        <v>282</v>
      </c>
      <c r="D420" s="12" t="s">
        <v>283</v>
      </c>
      <c r="E420" s="12" t="s">
        <v>1113</v>
      </c>
      <c r="F420" s="12" t="s">
        <v>1114</v>
      </c>
      <c r="G420" s="12" t="s">
        <v>293</v>
      </c>
      <c r="H420" s="12" t="s">
        <v>287</v>
      </c>
      <c r="I420" s="12" t="s">
        <v>288</v>
      </c>
    </row>
    <row r="421" customFormat="false" ht="23.85" hidden="false" customHeight="false" outlineLevel="0" collapsed="false">
      <c r="A421" s="12" t="s">
        <v>109</v>
      </c>
      <c r="B421" s="12" t="s">
        <v>1052</v>
      </c>
      <c r="C421" s="12" t="s">
        <v>282</v>
      </c>
      <c r="D421" s="12" t="s">
        <v>283</v>
      </c>
      <c r="E421" s="12" t="s">
        <v>1115</v>
      </c>
      <c r="F421" s="12" t="s">
        <v>1116</v>
      </c>
      <c r="G421" s="12" t="s">
        <v>293</v>
      </c>
      <c r="H421" s="12" t="s">
        <v>287</v>
      </c>
      <c r="I421" s="12" t="s">
        <v>288</v>
      </c>
    </row>
    <row r="422" customFormat="false" ht="23.85" hidden="false" customHeight="false" outlineLevel="0" collapsed="false">
      <c r="A422" s="12" t="s">
        <v>109</v>
      </c>
      <c r="B422" s="12" t="s">
        <v>1052</v>
      </c>
      <c r="C422" s="12" t="s">
        <v>282</v>
      </c>
      <c r="D422" s="12" t="s">
        <v>283</v>
      </c>
      <c r="E422" s="12" t="s">
        <v>1117</v>
      </c>
      <c r="F422" s="12" t="s">
        <v>1118</v>
      </c>
      <c r="G422" s="12" t="s">
        <v>293</v>
      </c>
      <c r="H422" s="12" t="s">
        <v>287</v>
      </c>
      <c r="I422" s="12" t="s">
        <v>288</v>
      </c>
    </row>
    <row r="423" customFormat="false" ht="23.85" hidden="false" customHeight="false" outlineLevel="0" collapsed="false">
      <c r="A423" s="12" t="s">
        <v>109</v>
      </c>
      <c r="B423" s="12" t="s">
        <v>1052</v>
      </c>
      <c r="C423" s="12" t="s">
        <v>282</v>
      </c>
      <c r="D423" s="12" t="s">
        <v>283</v>
      </c>
      <c r="E423" s="12" t="s">
        <v>1119</v>
      </c>
      <c r="F423" s="12" t="s">
        <v>1120</v>
      </c>
      <c r="G423" s="12" t="s">
        <v>293</v>
      </c>
      <c r="H423" s="12" t="s">
        <v>287</v>
      </c>
      <c r="I423" s="12" t="s">
        <v>288</v>
      </c>
    </row>
    <row r="424" customFormat="false" ht="23.85" hidden="false" customHeight="false" outlineLevel="0" collapsed="false">
      <c r="A424" s="12" t="s">
        <v>109</v>
      </c>
      <c r="B424" s="12" t="s">
        <v>1052</v>
      </c>
      <c r="C424" s="12" t="s">
        <v>282</v>
      </c>
      <c r="D424" s="12" t="s">
        <v>283</v>
      </c>
      <c r="E424" s="12" t="s">
        <v>1121</v>
      </c>
      <c r="F424" s="12" t="s">
        <v>1122</v>
      </c>
      <c r="G424" s="12" t="s">
        <v>293</v>
      </c>
      <c r="H424" s="12" t="s">
        <v>287</v>
      </c>
      <c r="I424" s="12" t="s">
        <v>288</v>
      </c>
    </row>
    <row r="425" customFormat="false" ht="23.85" hidden="false" customHeight="false" outlineLevel="0" collapsed="false">
      <c r="A425" s="12" t="s">
        <v>109</v>
      </c>
      <c r="B425" s="12" t="s">
        <v>1052</v>
      </c>
      <c r="C425" s="12" t="s">
        <v>282</v>
      </c>
      <c r="D425" s="12" t="s">
        <v>283</v>
      </c>
      <c r="E425" s="12" t="s">
        <v>1123</v>
      </c>
      <c r="F425" s="12" t="s">
        <v>1124</v>
      </c>
      <c r="G425" s="12" t="s">
        <v>293</v>
      </c>
      <c r="H425" s="12" t="s">
        <v>287</v>
      </c>
      <c r="I425" s="12" t="s">
        <v>288</v>
      </c>
    </row>
    <row r="426" customFormat="false" ht="23.85" hidden="false" customHeight="false" outlineLevel="0" collapsed="false">
      <c r="A426" s="12" t="s">
        <v>109</v>
      </c>
      <c r="B426" s="12" t="s">
        <v>1052</v>
      </c>
      <c r="C426" s="12" t="s">
        <v>282</v>
      </c>
      <c r="D426" s="12" t="s">
        <v>283</v>
      </c>
      <c r="E426" s="12" t="s">
        <v>1125</v>
      </c>
      <c r="F426" s="12" t="s">
        <v>1126</v>
      </c>
      <c r="G426" s="12" t="s">
        <v>286</v>
      </c>
      <c r="H426" s="12" t="s">
        <v>287</v>
      </c>
      <c r="I426" s="12" t="s">
        <v>288</v>
      </c>
    </row>
    <row r="427" customFormat="false" ht="23.85" hidden="false" customHeight="false" outlineLevel="0" collapsed="false">
      <c r="A427" s="12" t="s">
        <v>109</v>
      </c>
      <c r="B427" s="12" t="s">
        <v>1052</v>
      </c>
      <c r="C427" s="12" t="s">
        <v>282</v>
      </c>
      <c r="D427" s="12" t="s">
        <v>283</v>
      </c>
      <c r="E427" s="12" t="s">
        <v>1127</v>
      </c>
      <c r="F427" s="12" t="s">
        <v>1128</v>
      </c>
      <c r="G427" s="12" t="s">
        <v>293</v>
      </c>
      <c r="H427" s="12" t="s">
        <v>287</v>
      </c>
      <c r="I427" s="12" t="s">
        <v>288</v>
      </c>
    </row>
    <row r="428" customFormat="false" ht="23.85" hidden="false" customHeight="false" outlineLevel="0" collapsed="false">
      <c r="A428" s="12" t="s">
        <v>109</v>
      </c>
      <c r="B428" s="12" t="s">
        <v>1052</v>
      </c>
      <c r="C428" s="12" t="s">
        <v>282</v>
      </c>
      <c r="D428" s="12" t="s">
        <v>283</v>
      </c>
      <c r="E428" s="12" t="s">
        <v>1129</v>
      </c>
      <c r="F428" s="12" t="s">
        <v>1130</v>
      </c>
      <c r="G428" s="12" t="s">
        <v>293</v>
      </c>
      <c r="H428" s="12" t="s">
        <v>287</v>
      </c>
      <c r="I428" s="12" t="s">
        <v>288</v>
      </c>
    </row>
    <row r="429" customFormat="false" ht="23.85" hidden="false" customHeight="false" outlineLevel="0" collapsed="false">
      <c r="A429" s="12" t="s">
        <v>109</v>
      </c>
      <c r="B429" s="12" t="s">
        <v>1052</v>
      </c>
      <c r="C429" s="12" t="s">
        <v>282</v>
      </c>
      <c r="D429" s="12" t="s">
        <v>283</v>
      </c>
      <c r="E429" s="12" t="s">
        <v>1131</v>
      </c>
      <c r="F429" s="12" t="s">
        <v>1132</v>
      </c>
      <c r="G429" s="12" t="s">
        <v>293</v>
      </c>
      <c r="H429" s="12" t="s">
        <v>287</v>
      </c>
      <c r="I429" s="12" t="s">
        <v>288</v>
      </c>
    </row>
    <row r="430" customFormat="false" ht="23.85" hidden="false" customHeight="false" outlineLevel="0" collapsed="false">
      <c r="A430" s="12" t="s">
        <v>109</v>
      </c>
      <c r="B430" s="12" t="s">
        <v>1052</v>
      </c>
      <c r="C430" s="12" t="s">
        <v>282</v>
      </c>
      <c r="D430" s="12" t="s">
        <v>283</v>
      </c>
      <c r="E430" s="12" t="s">
        <v>1133</v>
      </c>
      <c r="F430" s="12" t="s">
        <v>1134</v>
      </c>
      <c r="G430" s="12" t="s">
        <v>293</v>
      </c>
      <c r="H430" s="12" t="s">
        <v>287</v>
      </c>
      <c r="I430" s="12" t="s">
        <v>288</v>
      </c>
    </row>
    <row r="431" customFormat="false" ht="23.85" hidden="false" customHeight="false" outlineLevel="0" collapsed="false">
      <c r="A431" s="12" t="s">
        <v>109</v>
      </c>
      <c r="B431" s="12" t="s">
        <v>1052</v>
      </c>
      <c r="C431" s="12" t="s">
        <v>282</v>
      </c>
      <c r="D431" s="12" t="s">
        <v>283</v>
      </c>
      <c r="E431" s="12" t="s">
        <v>1135</v>
      </c>
      <c r="F431" s="12" t="s">
        <v>1136</v>
      </c>
      <c r="G431" s="12" t="s">
        <v>293</v>
      </c>
      <c r="H431" s="12" t="s">
        <v>287</v>
      </c>
      <c r="I431" s="12" t="s">
        <v>288</v>
      </c>
    </row>
    <row r="432" customFormat="false" ht="23.85" hidden="false" customHeight="false" outlineLevel="0" collapsed="false">
      <c r="A432" s="12" t="s">
        <v>109</v>
      </c>
      <c r="B432" s="12" t="s">
        <v>1052</v>
      </c>
      <c r="C432" s="12" t="s">
        <v>282</v>
      </c>
      <c r="D432" s="12" t="s">
        <v>283</v>
      </c>
      <c r="E432" s="12" t="s">
        <v>1137</v>
      </c>
      <c r="F432" s="12" t="s">
        <v>1138</v>
      </c>
      <c r="G432" s="12" t="s">
        <v>286</v>
      </c>
      <c r="H432" s="12" t="s">
        <v>287</v>
      </c>
      <c r="I432" s="12" t="s">
        <v>288</v>
      </c>
    </row>
    <row r="433" customFormat="false" ht="23.85" hidden="false" customHeight="false" outlineLevel="0" collapsed="false">
      <c r="A433" s="12" t="s">
        <v>109</v>
      </c>
      <c r="B433" s="12" t="s">
        <v>1052</v>
      </c>
      <c r="C433" s="12" t="s">
        <v>282</v>
      </c>
      <c r="D433" s="12" t="s">
        <v>283</v>
      </c>
      <c r="E433" s="12" t="s">
        <v>1139</v>
      </c>
      <c r="F433" s="12" t="s">
        <v>1140</v>
      </c>
      <c r="G433" s="12" t="s">
        <v>293</v>
      </c>
      <c r="H433" s="12" t="s">
        <v>287</v>
      </c>
      <c r="I433" s="12" t="s">
        <v>288</v>
      </c>
    </row>
    <row r="434" customFormat="false" ht="23.85" hidden="false" customHeight="false" outlineLevel="0" collapsed="false">
      <c r="A434" s="12" t="s">
        <v>109</v>
      </c>
      <c r="B434" s="12" t="s">
        <v>1052</v>
      </c>
      <c r="C434" s="12" t="s">
        <v>282</v>
      </c>
      <c r="D434" s="12" t="s">
        <v>283</v>
      </c>
      <c r="E434" s="12" t="s">
        <v>1141</v>
      </c>
      <c r="F434" s="12" t="s">
        <v>1142</v>
      </c>
      <c r="G434" s="12" t="s">
        <v>293</v>
      </c>
      <c r="H434" s="12" t="s">
        <v>287</v>
      </c>
      <c r="I434" s="12" t="s">
        <v>288</v>
      </c>
    </row>
    <row r="435" customFormat="false" ht="23.85" hidden="false" customHeight="false" outlineLevel="0" collapsed="false">
      <c r="A435" s="12" t="s">
        <v>109</v>
      </c>
      <c r="B435" s="12" t="s">
        <v>1052</v>
      </c>
      <c r="C435" s="12" t="s">
        <v>282</v>
      </c>
      <c r="D435" s="12" t="s">
        <v>283</v>
      </c>
      <c r="E435" s="12" t="s">
        <v>1143</v>
      </c>
      <c r="F435" s="12" t="s">
        <v>1144</v>
      </c>
      <c r="G435" s="12" t="s">
        <v>293</v>
      </c>
      <c r="H435" s="12" t="s">
        <v>287</v>
      </c>
      <c r="I435" s="12" t="s">
        <v>288</v>
      </c>
    </row>
    <row r="436" customFormat="false" ht="23.85" hidden="false" customHeight="false" outlineLevel="0" collapsed="false">
      <c r="A436" s="12" t="s">
        <v>109</v>
      </c>
      <c r="B436" s="12" t="s">
        <v>1052</v>
      </c>
      <c r="C436" s="12" t="s">
        <v>282</v>
      </c>
      <c r="D436" s="12" t="s">
        <v>283</v>
      </c>
      <c r="E436" s="12" t="s">
        <v>1145</v>
      </c>
      <c r="F436" s="12" t="s">
        <v>1146</v>
      </c>
      <c r="G436" s="12" t="s">
        <v>293</v>
      </c>
      <c r="H436" s="12" t="s">
        <v>287</v>
      </c>
      <c r="I436" s="12" t="s">
        <v>288</v>
      </c>
    </row>
    <row r="437" customFormat="false" ht="23.85" hidden="false" customHeight="false" outlineLevel="0" collapsed="false">
      <c r="A437" s="12" t="s">
        <v>109</v>
      </c>
      <c r="B437" s="12" t="s">
        <v>1052</v>
      </c>
      <c r="C437" s="12" t="s">
        <v>282</v>
      </c>
      <c r="D437" s="12" t="s">
        <v>283</v>
      </c>
      <c r="E437" s="12" t="s">
        <v>1147</v>
      </c>
      <c r="F437" s="12" t="s">
        <v>1148</v>
      </c>
      <c r="G437" s="12" t="s">
        <v>293</v>
      </c>
      <c r="H437" s="12" t="s">
        <v>287</v>
      </c>
      <c r="I437" s="12" t="s">
        <v>288</v>
      </c>
    </row>
    <row r="438" customFormat="false" ht="23.85" hidden="false" customHeight="false" outlineLevel="0" collapsed="false">
      <c r="A438" s="12" t="s">
        <v>109</v>
      </c>
      <c r="B438" s="12" t="s">
        <v>1052</v>
      </c>
      <c r="C438" s="12" t="s">
        <v>282</v>
      </c>
      <c r="D438" s="12" t="s">
        <v>283</v>
      </c>
      <c r="E438" s="12" t="s">
        <v>1149</v>
      </c>
      <c r="F438" s="12" t="s">
        <v>1150</v>
      </c>
      <c r="G438" s="12" t="s">
        <v>293</v>
      </c>
      <c r="H438" s="12" t="s">
        <v>287</v>
      </c>
      <c r="I438" s="12" t="s">
        <v>288</v>
      </c>
    </row>
    <row r="439" customFormat="false" ht="23.85" hidden="false" customHeight="false" outlineLevel="0" collapsed="false">
      <c r="A439" s="12" t="s">
        <v>109</v>
      </c>
      <c r="B439" s="12" t="s">
        <v>1052</v>
      </c>
      <c r="C439" s="12" t="s">
        <v>282</v>
      </c>
      <c r="D439" s="12" t="s">
        <v>338</v>
      </c>
      <c r="E439" s="12" t="s">
        <v>1151</v>
      </c>
      <c r="F439" s="12" t="s">
        <v>1152</v>
      </c>
      <c r="G439" s="12" t="s">
        <v>293</v>
      </c>
      <c r="H439" s="12" t="s">
        <v>287</v>
      </c>
      <c r="I439" s="12" t="s">
        <v>288</v>
      </c>
    </row>
    <row r="440" customFormat="false" ht="23.85" hidden="false" customHeight="false" outlineLevel="0" collapsed="false">
      <c r="A440" s="12" t="s">
        <v>109</v>
      </c>
      <c r="B440" s="12" t="s">
        <v>1052</v>
      </c>
      <c r="C440" s="12" t="s">
        <v>282</v>
      </c>
      <c r="D440" s="12" t="s">
        <v>338</v>
      </c>
      <c r="E440" s="12" t="s">
        <v>1153</v>
      </c>
      <c r="F440" s="12" t="s">
        <v>1154</v>
      </c>
      <c r="G440" s="12" t="s">
        <v>293</v>
      </c>
      <c r="H440" s="12" t="s">
        <v>287</v>
      </c>
      <c r="I440" s="12" t="s">
        <v>288</v>
      </c>
    </row>
    <row r="441" customFormat="false" ht="23.85" hidden="false" customHeight="false" outlineLevel="0" collapsed="false">
      <c r="A441" s="12" t="s">
        <v>109</v>
      </c>
      <c r="B441" s="12" t="s">
        <v>1052</v>
      </c>
      <c r="C441" s="12" t="s">
        <v>282</v>
      </c>
      <c r="D441" s="12" t="s">
        <v>338</v>
      </c>
      <c r="E441" s="12" t="s">
        <v>1155</v>
      </c>
      <c r="F441" s="12" t="s">
        <v>1156</v>
      </c>
      <c r="G441" s="12" t="s">
        <v>293</v>
      </c>
      <c r="H441" s="12" t="s">
        <v>287</v>
      </c>
      <c r="I441" s="12" t="s">
        <v>288</v>
      </c>
    </row>
    <row r="442" customFormat="false" ht="23.85" hidden="false" customHeight="false" outlineLevel="0" collapsed="false">
      <c r="A442" s="12" t="s">
        <v>109</v>
      </c>
      <c r="B442" s="12" t="s">
        <v>1052</v>
      </c>
      <c r="C442" s="12" t="s">
        <v>282</v>
      </c>
      <c r="D442" s="12" t="s">
        <v>338</v>
      </c>
      <c r="E442" s="12" t="s">
        <v>1157</v>
      </c>
      <c r="F442" s="12" t="s">
        <v>1158</v>
      </c>
      <c r="G442" s="12" t="s">
        <v>293</v>
      </c>
      <c r="H442" s="12" t="s">
        <v>287</v>
      </c>
      <c r="I442" s="12" t="s">
        <v>288</v>
      </c>
    </row>
    <row r="443" customFormat="false" ht="23.85" hidden="false" customHeight="false" outlineLevel="0" collapsed="false">
      <c r="A443" s="12" t="s">
        <v>109</v>
      </c>
      <c r="B443" s="12" t="s">
        <v>1052</v>
      </c>
      <c r="C443" s="12" t="s">
        <v>282</v>
      </c>
      <c r="D443" s="12" t="s">
        <v>338</v>
      </c>
      <c r="E443" s="12" t="s">
        <v>1159</v>
      </c>
      <c r="F443" s="12" t="s">
        <v>1160</v>
      </c>
      <c r="G443" s="12" t="s">
        <v>293</v>
      </c>
      <c r="H443" s="12" t="s">
        <v>287</v>
      </c>
      <c r="I443" s="12" t="s">
        <v>288</v>
      </c>
    </row>
    <row r="444" customFormat="false" ht="23.85" hidden="false" customHeight="false" outlineLevel="0" collapsed="false">
      <c r="A444" s="12" t="s">
        <v>109</v>
      </c>
      <c r="B444" s="12" t="s">
        <v>1052</v>
      </c>
      <c r="C444" s="12" t="s">
        <v>282</v>
      </c>
      <c r="D444" s="12" t="s">
        <v>338</v>
      </c>
      <c r="E444" s="12" t="s">
        <v>1161</v>
      </c>
      <c r="F444" s="12" t="s">
        <v>1162</v>
      </c>
      <c r="G444" s="12" t="s">
        <v>293</v>
      </c>
      <c r="H444" s="12" t="s">
        <v>287</v>
      </c>
      <c r="I444" s="12" t="s">
        <v>288</v>
      </c>
    </row>
    <row r="445" customFormat="false" ht="23.85" hidden="false" customHeight="false" outlineLevel="0" collapsed="false">
      <c r="A445" s="12" t="s">
        <v>109</v>
      </c>
      <c r="B445" s="12" t="s">
        <v>1052</v>
      </c>
      <c r="C445" s="12" t="s">
        <v>282</v>
      </c>
      <c r="D445" s="12" t="s">
        <v>338</v>
      </c>
      <c r="E445" s="12" t="s">
        <v>1163</v>
      </c>
      <c r="F445" s="12" t="s">
        <v>1150</v>
      </c>
      <c r="G445" s="12" t="s">
        <v>293</v>
      </c>
      <c r="H445" s="12" t="s">
        <v>287</v>
      </c>
      <c r="I445" s="12" t="s">
        <v>288</v>
      </c>
    </row>
    <row r="446" customFormat="false" ht="23.85" hidden="false" customHeight="false" outlineLevel="0" collapsed="false">
      <c r="A446" s="12" t="s">
        <v>109</v>
      </c>
      <c r="B446" s="12" t="s">
        <v>1164</v>
      </c>
      <c r="C446" s="12" t="s">
        <v>282</v>
      </c>
      <c r="D446" s="12" t="s">
        <v>283</v>
      </c>
      <c r="E446" s="12" t="s">
        <v>1165</v>
      </c>
      <c r="F446" s="12" t="s">
        <v>1166</v>
      </c>
      <c r="G446" s="12" t="s">
        <v>286</v>
      </c>
      <c r="H446" s="12" t="s">
        <v>287</v>
      </c>
      <c r="I446" s="12" t="s">
        <v>1167</v>
      </c>
    </row>
    <row r="447" customFormat="false" ht="23.85" hidden="false" customHeight="false" outlineLevel="0" collapsed="false">
      <c r="A447" s="12" t="s">
        <v>109</v>
      </c>
      <c r="B447" s="12" t="s">
        <v>1164</v>
      </c>
      <c r="C447" s="12" t="s">
        <v>282</v>
      </c>
      <c r="D447" s="12" t="s">
        <v>283</v>
      </c>
      <c r="E447" s="12" t="s">
        <v>1168</v>
      </c>
      <c r="F447" s="12" t="s">
        <v>1169</v>
      </c>
      <c r="G447" s="12" t="s">
        <v>286</v>
      </c>
      <c r="H447" s="12" t="s">
        <v>287</v>
      </c>
      <c r="I447" s="12" t="s">
        <v>1167</v>
      </c>
    </row>
    <row r="448" customFormat="false" ht="23.85" hidden="false" customHeight="false" outlineLevel="0" collapsed="false">
      <c r="A448" s="12" t="s">
        <v>109</v>
      </c>
      <c r="B448" s="12" t="s">
        <v>1164</v>
      </c>
      <c r="C448" s="12" t="s">
        <v>282</v>
      </c>
      <c r="D448" s="12" t="s">
        <v>283</v>
      </c>
      <c r="E448" s="12" t="s">
        <v>1170</v>
      </c>
      <c r="F448" s="12" t="s">
        <v>1171</v>
      </c>
      <c r="G448" s="12" t="s">
        <v>293</v>
      </c>
      <c r="H448" s="12" t="s">
        <v>287</v>
      </c>
      <c r="I448" s="12" t="s">
        <v>1167</v>
      </c>
    </row>
    <row r="449" customFormat="false" ht="23.85" hidden="false" customHeight="false" outlineLevel="0" collapsed="false">
      <c r="A449" s="12" t="s">
        <v>109</v>
      </c>
      <c r="B449" s="12" t="s">
        <v>1164</v>
      </c>
      <c r="C449" s="12" t="s">
        <v>282</v>
      </c>
      <c r="D449" s="12" t="s">
        <v>283</v>
      </c>
      <c r="E449" s="12" t="s">
        <v>1172</v>
      </c>
      <c r="F449" s="12" t="s">
        <v>1173</v>
      </c>
      <c r="G449" s="12" t="s">
        <v>293</v>
      </c>
      <c r="H449" s="12" t="s">
        <v>287</v>
      </c>
      <c r="I449" s="12" t="s">
        <v>1167</v>
      </c>
    </row>
    <row r="450" customFormat="false" ht="23.85" hidden="false" customHeight="false" outlineLevel="0" collapsed="false">
      <c r="A450" s="12" t="s">
        <v>109</v>
      </c>
      <c r="B450" s="12" t="s">
        <v>1164</v>
      </c>
      <c r="C450" s="12" t="s">
        <v>282</v>
      </c>
      <c r="D450" s="12" t="s">
        <v>283</v>
      </c>
      <c r="E450" s="12" t="s">
        <v>1174</v>
      </c>
      <c r="F450" s="12" t="s">
        <v>1175</v>
      </c>
      <c r="G450" s="12" t="s">
        <v>293</v>
      </c>
      <c r="H450" s="12" t="s">
        <v>287</v>
      </c>
      <c r="I450" s="12" t="s">
        <v>1167</v>
      </c>
    </row>
    <row r="451" customFormat="false" ht="23.85" hidden="false" customHeight="false" outlineLevel="0" collapsed="false">
      <c r="A451" s="12" t="s">
        <v>109</v>
      </c>
      <c r="B451" s="12" t="s">
        <v>1164</v>
      </c>
      <c r="C451" s="12" t="s">
        <v>282</v>
      </c>
      <c r="D451" s="12" t="s">
        <v>283</v>
      </c>
      <c r="E451" s="12" t="s">
        <v>1176</v>
      </c>
      <c r="F451" s="12" t="s">
        <v>1177</v>
      </c>
      <c r="G451" s="12" t="s">
        <v>293</v>
      </c>
      <c r="H451" s="12" t="s">
        <v>287</v>
      </c>
      <c r="I451" s="12" t="s">
        <v>1167</v>
      </c>
    </row>
    <row r="452" customFormat="false" ht="23.85" hidden="false" customHeight="false" outlineLevel="0" collapsed="false">
      <c r="A452" s="12" t="s">
        <v>109</v>
      </c>
      <c r="B452" s="12" t="s">
        <v>1164</v>
      </c>
      <c r="C452" s="12" t="s">
        <v>282</v>
      </c>
      <c r="D452" s="12" t="s">
        <v>283</v>
      </c>
      <c r="E452" s="12" t="s">
        <v>1178</v>
      </c>
      <c r="F452" s="12" t="s">
        <v>1179</v>
      </c>
      <c r="G452" s="12" t="s">
        <v>293</v>
      </c>
      <c r="H452" s="12" t="s">
        <v>287</v>
      </c>
      <c r="I452" s="12" t="s">
        <v>1167</v>
      </c>
    </row>
    <row r="453" customFormat="false" ht="23.85" hidden="false" customHeight="false" outlineLevel="0" collapsed="false">
      <c r="A453" s="12" t="s">
        <v>109</v>
      </c>
      <c r="B453" s="12" t="s">
        <v>1164</v>
      </c>
      <c r="C453" s="12" t="s">
        <v>282</v>
      </c>
      <c r="D453" s="12" t="s">
        <v>283</v>
      </c>
      <c r="E453" s="12" t="s">
        <v>1180</v>
      </c>
      <c r="F453" s="12" t="s">
        <v>1181</v>
      </c>
      <c r="G453" s="12" t="s">
        <v>286</v>
      </c>
      <c r="H453" s="12" t="s">
        <v>287</v>
      </c>
      <c r="I453" s="12" t="s">
        <v>1167</v>
      </c>
    </row>
    <row r="454" customFormat="false" ht="23.85" hidden="false" customHeight="false" outlineLevel="0" collapsed="false">
      <c r="A454" s="12" t="s">
        <v>109</v>
      </c>
      <c r="B454" s="12" t="s">
        <v>1164</v>
      </c>
      <c r="C454" s="12" t="s">
        <v>282</v>
      </c>
      <c r="D454" s="12" t="s">
        <v>283</v>
      </c>
      <c r="E454" s="12" t="s">
        <v>1182</v>
      </c>
      <c r="F454" s="12" t="s">
        <v>1183</v>
      </c>
      <c r="G454" s="12" t="s">
        <v>293</v>
      </c>
      <c r="H454" s="12" t="s">
        <v>287</v>
      </c>
      <c r="I454" s="12" t="s">
        <v>1167</v>
      </c>
    </row>
    <row r="455" customFormat="false" ht="23.85" hidden="false" customHeight="false" outlineLevel="0" collapsed="false">
      <c r="A455" s="12" t="s">
        <v>109</v>
      </c>
      <c r="B455" s="12" t="s">
        <v>1164</v>
      </c>
      <c r="C455" s="12" t="s">
        <v>282</v>
      </c>
      <c r="D455" s="12" t="s">
        <v>283</v>
      </c>
      <c r="E455" s="12" t="s">
        <v>1184</v>
      </c>
      <c r="F455" s="12" t="s">
        <v>1185</v>
      </c>
      <c r="G455" s="12" t="s">
        <v>293</v>
      </c>
      <c r="H455" s="12" t="s">
        <v>287</v>
      </c>
      <c r="I455" s="12" t="s">
        <v>1167</v>
      </c>
    </row>
    <row r="456" customFormat="false" ht="23.85" hidden="false" customHeight="false" outlineLevel="0" collapsed="false">
      <c r="A456" s="12" t="s">
        <v>109</v>
      </c>
      <c r="B456" s="12" t="s">
        <v>1164</v>
      </c>
      <c r="C456" s="12" t="s">
        <v>282</v>
      </c>
      <c r="D456" s="12" t="s">
        <v>283</v>
      </c>
      <c r="E456" s="12" t="s">
        <v>1186</v>
      </c>
      <c r="F456" s="12" t="s">
        <v>1187</v>
      </c>
      <c r="G456" s="12" t="s">
        <v>293</v>
      </c>
      <c r="H456" s="12" t="s">
        <v>287</v>
      </c>
      <c r="I456" s="12" t="s">
        <v>1167</v>
      </c>
    </row>
    <row r="457" customFormat="false" ht="23.85" hidden="false" customHeight="false" outlineLevel="0" collapsed="false">
      <c r="A457" s="12" t="s">
        <v>109</v>
      </c>
      <c r="B457" s="12" t="s">
        <v>1164</v>
      </c>
      <c r="C457" s="12" t="s">
        <v>282</v>
      </c>
      <c r="D457" s="12" t="s">
        <v>283</v>
      </c>
      <c r="E457" s="12" t="s">
        <v>1188</v>
      </c>
      <c r="F457" s="12" t="s">
        <v>1189</v>
      </c>
      <c r="G457" s="12" t="s">
        <v>293</v>
      </c>
      <c r="H457" s="12" t="s">
        <v>287</v>
      </c>
      <c r="I457" s="12" t="s">
        <v>1167</v>
      </c>
    </row>
    <row r="458" customFormat="false" ht="23.85" hidden="false" customHeight="false" outlineLevel="0" collapsed="false">
      <c r="A458" s="12" t="s">
        <v>109</v>
      </c>
      <c r="B458" s="12" t="s">
        <v>1164</v>
      </c>
      <c r="C458" s="12" t="s">
        <v>282</v>
      </c>
      <c r="D458" s="12" t="s">
        <v>283</v>
      </c>
      <c r="E458" s="12" t="s">
        <v>1190</v>
      </c>
      <c r="F458" s="12" t="s">
        <v>1191</v>
      </c>
      <c r="G458" s="12" t="s">
        <v>293</v>
      </c>
      <c r="H458" s="12" t="s">
        <v>287</v>
      </c>
      <c r="I458" s="12" t="s">
        <v>1167</v>
      </c>
    </row>
    <row r="459" customFormat="false" ht="23.85" hidden="false" customHeight="false" outlineLevel="0" collapsed="false">
      <c r="A459" s="12" t="s">
        <v>109</v>
      </c>
      <c r="B459" s="12" t="s">
        <v>1164</v>
      </c>
      <c r="C459" s="12" t="s">
        <v>282</v>
      </c>
      <c r="D459" s="12" t="s">
        <v>283</v>
      </c>
      <c r="E459" s="12" t="s">
        <v>1192</v>
      </c>
      <c r="F459" s="12" t="s">
        <v>1193</v>
      </c>
      <c r="G459" s="12" t="s">
        <v>286</v>
      </c>
      <c r="H459" s="12" t="s">
        <v>287</v>
      </c>
      <c r="I459" s="12" t="s">
        <v>1167</v>
      </c>
    </row>
    <row r="460" customFormat="false" ht="23.85" hidden="false" customHeight="false" outlineLevel="0" collapsed="false">
      <c r="A460" s="12" t="s">
        <v>109</v>
      </c>
      <c r="B460" s="12" t="s">
        <v>1164</v>
      </c>
      <c r="C460" s="12" t="s">
        <v>282</v>
      </c>
      <c r="D460" s="12" t="s">
        <v>283</v>
      </c>
      <c r="E460" s="12" t="s">
        <v>1194</v>
      </c>
      <c r="F460" s="12" t="s">
        <v>1195</v>
      </c>
      <c r="G460" s="12" t="s">
        <v>293</v>
      </c>
      <c r="H460" s="12" t="s">
        <v>287</v>
      </c>
      <c r="I460" s="12" t="s">
        <v>1167</v>
      </c>
    </row>
    <row r="461" customFormat="false" ht="23.85" hidden="false" customHeight="false" outlineLevel="0" collapsed="false">
      <c r="A461" s="12" t="s">
        <v>109</v>
      </c>
      <c r="B461" s="12" t="s">
        <v>1164</v>
      </c>
      <c r="C461" s="12" t="s">
        <v>282</v>
      </c>
      <c r="D461" s="12" t="s">
        <v>283</v>
      </c>
      <c r="E461" s="12" t="s">
        <v>1196</v>
      </c>
      <c r="F461" s="12" t="s">
        <v>1197</v>
      </c>
      <c r="G461" s="12" t="s">
        <v>293</v>
      </c>
      <c r="H461" s="12" t="s">
        <v>287</v>
      </c>
      <c r="I461" s="12" t="s">
        <v>1167</v>
      </c>
    </row>
    <row r="462" customFormat="false" ht="23.85" hidden="false" customHeight="false" outlineLevel="0" collapsed="false">
      <c r="A462" s="12" t="s">
        <v>109</v>
      </c>
      <c r="B462" s="12" t="s">
        <v>1164</v>
      </c>
      <c r="C462" s="12" t="s">
        <v>282</v>
      </c>
      <c r="D462" s="12" t="s">
        <v>283</v>
      </c>
      <c r="E462" s="12" t="s">
        <v>1198</v>
      </c>
      <c r="F462" s="12" t="s">
        <v>1199</v>
      </c>
      <c r="G462" s="12" t="s">
        <v>293</v>
      </c>
      <c r="H462" s="12" t="s">
        <v>287</v>
      </c>
      <c r="I462" s="12" t="s">
        <v>1167</v>
      </c>
    </row>
    <row r="463" customFormat="false" ht="23.85" hidden="false" customHeight="false" outlineLevel="0" collapsed="false">
      <c r="A463" s="12" t="s">
        <v>109</v>
      </c>
      <c r="B463" s="12" t="s">
        <v>1164</v>
      </c>
      <c r="C463" s="12" t="s">
        <v>282</v>
      </c>
      <c r="D463" s="12" t="s">
        <v>283</v>
      </c>
      <c r="E463" s="12" t="s">
        <v>1200</v>
      </c>
      <c r="F463" s="12" t="s">
        <v>1201</v>
      </c>
      <c r="G463" s="12" t="s">
        <v>293</v>
      </c>
      <c r="H463" s="12" t="s">
        <v>287</v>
      </c>
      <c r="I463" s="12" t="s">
        <v>1167</v>
      </c>
    </row>
    <row r="464" customFormat="false" ht="23.85" hidden="false" customHeight="false" outlineLevel="0" collapsed="false">
      <c r="A464" s="12" t="s">
        <v>109</v>
      </c>
      <c r="B464" s="12" t="s">
        <v>1164</v>
      </c>
      <c r="C464" s="12" t="s">
        <v>282</v>
      </c>
      <c r="D464" s="12" t="s">
        <v>283</v>
      </c>
      <c r="E464" s="12" t="s">
        <v>1202</v>
      </c>
      <c r="F464" s="12" t="s">
        <v>1203</v>
      </c>
      <c r="G464" s="12" t="s">
        <v>293</v>
      </c>
      <c r="H464" s="12" t="s">
        <v>287</v>
      </c>
      <c r="I464" s="12" t="s">
        <v>1167</v>
      </c>
    </row>
    <row r="465" customFormat="false" ht="23.85" hidden="false" customHeight="false" outlineLevel="0" collapsed="false">
      <c r="A465" s="12" t="s">
        <v>109</v>
      </c>
      <c r="B465" s="12" t="s">
        <v>1164</v>
      </c>
      <c r="C465" s="12" t="s">
        <v>282</v>
      </c>
      <c r="D465" s="12" t="s">
        <v>283</v>
      </c>
      <c r="E465" s="12" t="s">
        <v>1204</v>
      </c>
      <c r="F465" s="12" t="s">
        <v>1205</v>
      </c>
      <c r="G465" s="12" t="s">
        <v>286</v>
      </c>
      <c r="H465" s="12" t="s">
        <v>287</v>
      </c>
      <c r="I465" s="12" t="s">
        <v>1167</v>
      </c>
    </row>
    <row r="466" customFormat="false" ht="23.85" hidden="false" customHeight="false" outlineLevel="0" collapsed="false">
      <c r="A466" s="12" t="s">
        <v>109</v>
      </c>
      <c r="B466" s="12" t="s">
        <v>1164</v>
      </c>
      <c r="C466" s="12" t="s">
        <v>282</v>
      </c>
      <c r="D466" s="12" t="s">
        <v>283</v>
      </c>
      <c r="E466" s="12" t="s">
        <v>1206</v>
      </c>
      <c r="F466" s="12" t="s">
        <v>1207</v>
      </c>
      <c r="G466" s="12" t="s">
        <v>293</v>
      </c>
      <c r="H466" s="12" t="s">
        <v>287</v>
      </c>
      <c r="I466" s="12" t="s">
        <v>1167</v>
      </c>
    </row>
    <row r="467" customFormat="false" ht="23.85" hidden="false" customHeight="false" outlineLevel="0" collapsed="false">
      <c r="A467" s="12" t="s">
        <v>109</v>
      </c>
      <c r="B467" s="12" t="s">
        <v>1164</v>
      </c>
      <c r="C467" s="12" t="s">
        <v>282</v>
      </c>
      <c r="D467" s="12" t="s">
        <v>283</v>
      </c>
      <c r="E467" s="12" t="s">
        <v>1208</v>
      </c>
      <c r="F467" s="12" t="s">
        <v>1209</v>
      </c>
      <c r="G467" s="12" t="s">
        <v>293</v>
      </c>
      <c r="H467" s="12" t="s">
        <v>287</v>
      </c>
      <c r="I467" s="12" t="s">
        <v>1167</v>
      </c>
    </row>
    <row r="468" customFormat="false" ht="23.85" hidden="false" customHeight="false" outlineLevel="0" collapsed="false">
      <c r="A468" s="12" t="s">
        <v>109</v>
      </c>
      <c r="B468" s="12" t="s">
        <v>1164</v>
      </c>
      <c r="C468" s="12" t="s">
        <v>282</v>
      </c>
      <c r="D468" s="12" t="s">
        <v>283</v>
      </c>
      <c r="E468" s="12" t="s">
        <v>1210</v>
      </c>
      <c r="F468" s="12" t="s">
        <v>1211</v>
      </c>
      <c r="G468" s="12" t="s">
        <v>293</v>
      </c>
      <c r="H468" s="12" t="s">
        <v>287</v>
      </c>
      <c r="I468" s="12" t="s">
        <v>1167</v>
      </c>
    </row>
    <row r="469" customFormat="false" ht="23.85" hidden="false" customHeight="false" outlineLevel="0" collapsed="false">
      <c r="A469" s="12" t="s">
        <v>109</v>
      </c>
      <c r="B469" s="12" t="s">
        <v>1164</v>
      </c>
      <c r="C469" s="12" t="s">
        <v>282</v>
      </c>
      <c r="D469" s="12" t="s">
        <v>283</v>
      </c>
      <c r="E469" s="12" t="s">
        <v>1212</v>
      </c>
      <c r="F469" s="12" t="s">
        <v>1213</v>
      </c>
      <c r="G469" s="12" t="s">
        <v>293</v>
      </c>
      <c r="H469" s="12" t="s">
        <v>287</v>
      </c>
      <c r="I469" s="12" t="s">
        <v>1167</v>
      </c>
    </row>
    <row r="470" customFormat="false" ht="23.85" hidden="false" customHeight="false" outlineLevel="0" collapsed="false">
      <c r="A470" s="12" t="s">
        <v>109</v>
      </c>
      <c r="B470" s="12" t="s">
        <v>1164</v>
      </c>
      <c r="C470" s="12" t="s">
        <v>282</v>
      </c>
      <c r="D470" s="12" t="s">
        <v>283</v>
      </c>
      <c r="E470" s="12" t="s">
        <v>1214</v>
      </c>
      <c r="F470" s="12" t="s">
        <v>1215</v>
      </c>
      <c r="G470" s="12" t="s">
        <v>293</v>
      </c>
      <c r="H470" s="12" t="s">
        <v>287</v>
      </c>
      <c r="I470" s="12" t="s">
        <v>1167</v>
      </c>
    </row>
    <row r="471" customFormat="false" ht="23.85" hidden="false" customHeight="false" outlineLevel="0" collapsed="false">
      <c r="A471" s="12" t="s">
        <v>109</v>
      </c>
      <c r="B471" s="12" t="s">
        <v>1164</v>
      </c>
      <c r="C471" s="12" t="s">
        <v>282</v>
      </c>
      <c r="D471" s="12" t="s">
        <v>283</v>
      </c>
      <c r="E471" s="12" t="s">
        <v>1216</v>
      </c>
      <c r="F471" s="12" t="s">
        <v>1217</v>
      </c>
      <c r="G471" s="12" t="s">
        <v>293</v>
      </c>
      <c r="H471" s="12" t="s">
        <v>287</v>
      </c>
      <c r="I471" s="12" t="s">
        <v>1167</v>
      </c>
    </row>
    <row r="472" customFormat="false" ht="23.85" hidden="false" customHeight="false" outlineLevel="0" collapsed="false">
      <c r="A472" s="12" t="s">
        <v>109</v>
      </c>
      <c r="B472" s="12" t="s">
        <v>1164</v>
      </c>
      <c r="C472" s="12" t="s">
        <v>282</v>
      </c>
      <c r="D472" s="12" t="s">
        <v>338</v>
      </c>
      <c r="E472" s="12" t="s">
        <v>1218</v>
      </c>
      <c r="F472" s="12" t="s">
        <v>1219</v>
      </c>
      <c r="G472" s="12" t="s">
        <v>293</v>
      </c>
      <c r="H472" s="12" t="s">
        <v>287</v>
      </c>
      <c r="I472" s="12" t="s">
        <v>1167</v>
      </c>
    </row>
    <row r="473" customFormat="false" ht="23.85" hidden="false" customHeight="false" outlineLevel="0" collapsed="false">
      <c r="A473" s="12" t="s">
        <v>109</v>
      </c>
      <c r="B473" s="12" t="s">
        <v>1220</v>
      </c>
      <c r="C473" s="12" t="s">
        <v>282</v>
      </c>
      <c r="D473" s="12" t="s">
        <v>283</v>
      </c>
      <c r="E473" s="12" t="s">
        <v>1221</v>
      </c>
      <c r="F473" s="12" t="s">
        <v>1222</v>
      </c>
      <c r="G473" s="12" t="s">
        <v>293</v>
      </c>
      <c r="H473" s="12" t="s">
        <v>287</v>
      </c>
      <c r="I473" s="12" t="s">
        <v>288</v>
      </c>
    </row>
    <row r="474" customFormat="false" ht="23.85" hidden="false" customHeight="false" outlineLevel="0" collapsed="false">
      <c r="A474" s="12" t="s">
        <v>109</v>
      </c>
      <c r="B474" s="12" t="s">
        <v>1220</v>
      </c>
      <c r="C474" s="12" t="s">
        <v>282</v>
      </c>
      <c r="D474" s="12" t="s">
        <v>338</v>
      </c>
      <c r="E474" s="12" t="s">
        <v>1223</v>
      </c>
      <c r="F474" s="12" t="s">
        <v>1224</v>
      </c>
      <c r="G474" s="12" t="s">
        <v>293</v>
      </c>
      <c r="H474" s="12" t="s">
        <v>287</v>
      </c>
      <c r="I474" s="12" t="s">
        <v>288</v>
      </c>
    </row>
    <row r="475" customFormat="false" ht="23.85" hidden="false" customHeight="false" outlineLevel="0" collapsed="false">
      <c r="A475" s="12" t="s">
        <v>109</v>
      </c>
      <c r="B475" s="12" t="s">
        <v>1225</v>
      </c>
      <c r="C475" s="12" t="s">
        <v>282</v>
      </c>
      <c r="D475" s="12" t="s">
        <v>283</v>
      </c>
      <c r="E475" s="12" t="s">
        <v>1226</v>
      </c>
      <c r="F475" s="12" t="s">
        <v>1227</v>
      </c>
      <c r="G475" s="12" t="s">
        <v>286</v>
      </c>
      <c r="H475" s="12" t="s">
        <v>287</v>
      </c>
      <c r="I475" s="12" t="s">
        <v>288</v>
      </c>
    </row>
    <row r="476" customFormat="false" ht="23.85" hidden="false" customHeight="false" outlineLevel="0" collapsed="false">
      <c r="A476" s="12" t="s">
        <v>109</v>
      </c>
      <c r="B476" s="12" t="s">
        <v>1225</v>
      </c>
      <c r="C476" s="12" t="s">
        <v>282</v>
      </c>
      <c r="D476" s="12" t="s">
        <v>283</v>
      </c>
      <c r="E476" s="12" t="s">
        <v>1228</v>
      </c>
      <c r="F476" s="12" t="s">
        <v>1229</v>
      </c>
      <c r="G476" s="12" t="s">
        <v>286</v>
      </c>
      <c r="H476" s="12" t="s">
        <v>287</v>
      </c>
      <c r="I476" s="12" t="s">
        <v>288</v>
      </c>
    </row>
    <row r="477" customFormat="false" ht="23.85" hidden="false" customHeight="false" outlineLevel="0" collapsed="false">
      <c r="A477" s="12" t="s">
        <v>109</v>
      </c>
      <c r="B477" s="12" t="s">
        <v>1225</v>
      </c>
      <c r="C477" s="12" t="s">
        <v>282</v>
      </c>
      <c r="D477" s="12" t="s">
        <v>283</v>
      </c>
      <c r="E477" s="12" t="s">
        <v>1230</v>
      </c>
      <c r="F477" s="12" t="s">
        <v>1231</v>
      </c>
      <c r="G477" s="12" t="s">
        <v>293</v>
      </c>
      <c r="H477" s="12" t="s">
        <v>287</v>
      </c>
      <c r="I477" s="12" t="s">
        <v>288</v>
      </c>
    </row>
    <row r="478" customFormat="false" ht="23.85" hidden="false" customHeight="false" outlineLevel="0" collapsed="false">
      <c r="A478" s="12" t="s">
        <v>109</v>
      </c>
      <c r="B478" s="12" t="s">
        <v>1225</v>
      </c>
      <c r="C478" s="12" t="s">
        <v>282</v>
      </c>
      <c r="D478" s="12" t="s">
        <v>283</v>
      </c>
      <c r="E478" s="12" t="s">
        <v>1232</v>
      </c>
      <c r="F478" s="12" t="s">
        <v>1233</v>
      </c>
      <c r="G478" s="12" t="s">
        <v>293</v>
      </c>
      <c r="H478" s="12" t="s">
        <v>287</v>
      </c>
      <c r="I478" s="12" t="s">
        <v>288</v>
      </c>
    </row>
    <row r="479" customFormat="false" ht="23.85" hidden="false" customHeight="false" outlineLevel="0" collapsed="false">
      <c r="A479" s="12" t="s">
        <v>109</v>
      </c>
      <c r="B479" s="12" t="s">
        <v>1225</v>
      </c>
      <c r="C479" s="12" t="s">
        <v>282</v>
      </c>
      <c r="D479" s="12" t="s">
        <v>283</v>
      </c>
      <c r="E479" s="12" t="s">
        <v>1234</v>
      </c>
      <c r="F479" s="12" t="s">
        <v>1235</v>
      </c>
      <c r="G479" s="12" t="s">
        <v>286</v>
      </c>
      <c r="H479" s="12" t="s">
        <v>287</v>
      </c>
      <c r="I479" s="12" t="s">
        <v>288</v>
      </c>
    </row>
    <row r="480" customFormat="false" ht="23.85" hidden="false" customHeight="false" outlineLevel="0" collapsed="false">
      <c r="A480" s="12" t="s">
        <v>109</v>
      </c>
      <c r="B480" s="12" t="s">
        <v>1225</v>
      </c>
      <c r="C480" s="12" t="s">
        <v>282</v>
      </c>
      <c r="D480" s="12" t="s">
        <v>283</v>
      </c>
      <c r="E480" s="12" t="s">
        <v>1236</v>
      </c>
      <c r="F480" s="12" t="s">
        <v>1237</v>
      </c>
      <c r="G480" s="12" t="s">
        <v>293</v>
      </c>
      <c r="H480" s="12" t="s">
        <v>287</v>
      </c>
      <c r="I480" s="12" t="s">
        <v>288</v>
      </c>
    </row>
    <row r="481" customFormat="false" ht="23.85" hidden="false" customHeight="false" outlineLevel="0" collapsed="false">
      <c r="A481" s="12" t="s">
        <v>109</v>
      </c>
      <c r="B481" s="12" t="s">
        <v>1225</v>
      </c>
      <c r="C481" s="12" t="s">
        <v>282</v>
      </c>
      <c r="D481" s="12" t="s">
        <v>283</v>
      </c>
      <c r="E481" s="12" t="s">
        <v>1238</v>
      </c>
      <c r="F481" s="12" t="s">
        <v>1239</v>
      </c>
      <c r="G481" s="12" t="s">
        <v>293</v>
      </c>
      <c r="H481" s="12" t="s">
        <v>287</v>
      </c>
      <c r="I481" s="12" t="s">
        <v>288</v>
      </c>
    </row>
    <row r="482" customFormat="false" ht="23.85" hidden="false" customHeight="false" outlineLevel="0" collapsed="false">
      <c r="A482" s="12" t="s">
        <v>109</v>
      </c>
      <c r="B482" s="12" t="s">
        <v>1225</v>
      </c>
      <c r="C482" s="12" t="s">
        <v>282</v>
      </c>
      <c r="D482" s="12" t="s">
        <v>283</v>
      </c>
      <c r="E482" s="12" t="s">
        <v>1240</v>
      </c>
      <c r="F482" s="12" t="s">
        <v>1241</v>
      </c>
      <c r="G482" s="12" t="s">
        <v>293</v>
      </c>
      <c r="H482" s="12" t="s">
        <v>287</v>
      </c>
      <c r="I482" s="12" t="s">
        <v>288</v>
      </c>
    </row>
    <row r="483" customFormat="false" ht="23.85" hidden="false" customHeight="false" outlineLevel="0" collapsed="false">
      <c r="A483" s="12" t="s">
        <v>109</v>
      </c>
      <c r="B483" s="12" t="s">
        <v>1225</v>
      </c>
      <c r="C483" s="12" t="s">
        <v>282</v>
      </c>
      <c r="D483" s="12" t="s">
        <v>283</v>
      </c>
      <c r="E483" s="12" t="s">
        <v>1242</v>
      </c>
      <c r="F483" s="12" t="s">
        <v>1243</v>
      </c>
      <c r="G483" s="12" t="s">
        <v>286</v>
      </c>
      <c r="H483" s="12" t="s">
        <v>287</v>
      </c>
      <c r="I483" s="12" t="s">
        <v>288</v>
      </c>
    </row>
    <row r="484" customFormat="false" ht="23.85" hidden="false" customHeight="false" outlineLevel="0" collapsed="false">
      <c r="A484" s="12" t="s">
        <v>109</v>
      </c>
      <c r="B484" s="12" t="s">
        <v>1225</v>
      </c>
      <c r="C484" s="12" t="s">
        <v>282</v>
      </c>
      <c r="D484" s="12" t="s">
        <v>283</v>
      </c>
      <c r="E484" s="12" t="s">
        <v>1244</v>
      </c>
      <c r="F484" s="12" t="s">
        <v>1245</v>
      </c>
      <c r="G484" s="12" t="s">
        <v>286</v>
      </c>
      <c r="H484" s="12" t="s">
        <v>287</v>
      </c>
      <c r="I484" s="12" t="s">
        <v>288</v>
      </c>
    </row>
    <row r="485" customFormat="false" ht="23.85" hidden="false" customHeight="false" outlineLevel="0" collapsed="false">
      <c r="A485" s="12" t="s">
        <v>109</v>
      </c>
      <c r="B485" s="12" t="s">
        <v>1225</v>
      </c>
      <c r="C485" s="12" t="s">
        <v>282</v>
      </c>
      <c r="D485" s="12" t="s">
        <v>283</v>
      </c>
      <c r="E485" s="12" t="s">
        <v>1246</v>
      </c>
      <c r="F485" s="12" t="s">
        <v>1247</v>
      </c>
      <c r="G485" s="12" t="s">
        <v>293</v>
      </c>
      <c r="H485" s="12" t="s">
        <v>287</v>
      </c>
      <c r="I485" s="12" t="s">
        <v>288</v>
      </c>
    </row>
    <row r="486" customFormat="false" ht="23.85" hidden="false" customHeight="false" outlineLevel="0" collapsed="false">
      <c r="A486" s="12" t="s">
        <v>109</v>
      </c>
      <c r="B486" s="12" t="s">
        <v>1225</v>
      </c>
      <c r="C486" s="12" t="s">
        <v>282</v>
      </c>
      <c r="D486" s="12" t="s">
        <v>283</v>
      </c>
      <c r="E486" s="12" t="s">
        <v>1248</v>
      </c>
      <c r="F486" s="12" t="s">
        <v>1249</v>
      </c>
      <c r="G486" s="12" t="s">
        <v>293</v>
      </c>
      <c r="H486" s="12" t="s">
        <v>287</v>
      </c>
      <c r="I486" s="12" t="s">
        <v>288</v>
      </c>
    </row>
    <row r="487" customFormat="false" ht="23.85" hidden="false" customHeight="false" outlineLevel="0" collapsed="false">
      <c r="A487" s="12" t="s">
        <v>109</v>
      </c>
      <c r="B487" s="12" t="s">
        <v>1225</v>
      </c>
      <c r="C487" s="12" t="s">
        <v>282</v>
      </c>
      <c r="D487" s="12" t="s">
        <v>283</v>
      </c>
      <c r="E487" s="12" t="s">
        <v>1250</v>
      </c>
      <c r="F487" s="12" t="s">
        <v>1251</v>
      </c>
      <c r="G487" s="12" t="s">
        <v>286</v>
      </c>
      <c r="H487" s="12" t="s">
        <v>287</v>
      </c>
      <c r="I487" s="12" t="s">
        <v>288</v>
      </c>
    </row>
    <row r="488" customFormat="false" ht="23.85" hidden="false" customHeight="false" outlineLevel="0" collapsed="false">
      <c r="A488" s="12" t="s">
        <v>109</v>
      </c>
      <c r="B488" s="12" t="s">
        <v>1225</v>
      </c>
      <c r="C488" s="12" t="s">
        <v>282</v>
      </c>
      <c r="D488" s="12" t="s">
        <v>283</v>
      </c>
      <c r="E488" s="12" t="s">
        <v>1252</v>
      </c>
      <c r="F488" s="12" t="s">
        <v>1253</v>
      </c>
      <c r="G488" s="12" t="s">
        <v>286</v>
      </c>
      <c r="H488" s="12" t="s">
        <v>287</v>
      </c>
      <c r="I488" s="12" t="s">
        <v>288</v>
      </c>
    </row>
    <row r="489" customFormat="false" ht="23.85" hidden="false" customHeight="false" outlineLevel="0" collapsed="false">
      <c r="A489" s="12" t="s">
        <v>109</v>
      </c>
      <c r="B489" s="12" t="s">
        <v>1225</v>
      </c>
      <c r="C489" s="12" t="s">
        <v>282</v>
      </c>
      <c r="D489" s="12" t="s">
        <v>283</v>
      </c>
      <c r="E489" s="12" t="s">
        <v>1254</v>
      </c>
      <c r="F489" s="12" t="s">
        <v>1255</v>
      </c>
      <c r="G489" s="12" t="s">
        <v>293</v>
      </c>
      <c r="H489" s="12" t="s">
        <v>287</v>
      </c>
      <c r="I489" s="12" t="s">
        <v>288</v>
      </c>
    </row>
    <row r="490" customFormat="false" ht="23.85" hidden="false" customHeight="false" outlineLevel="0" collapsed="false">
      <c r="A490" s="12" t="s">
        <v>109</v>
      </c>
      <c r="B490" s="12" t="s">
        <v>1225</v>
      </c>
      <c r="C490" s="12" t="s">
        <v>282</v>
      </c>
      <c r="D490" s="12" t="s">
        <v>283</v>
      </c>
      <c r="E490" s="12" t="s">
        <v>1256</v>
      </c>
      <c r="F490" s="12" t="s">
        <v>1257</v>
      </c>
      <c r="G490" s="12" t="s">
        <v>293</v>
      </c>
      <c r="H490" s="12" t="s">
        <v>287</v>
      </c>
      <c r="I490" s="12" t="s">
        <v>288</v>
      </c>
    </row>
    <row r="491" customFormat="false" ht="23.85" hidden="false" customHeight="false" outlineLevel="0" collapsed="false">
      <c r="A491" s="12" t="s">
        <v>109</v>
      </c>
      <c r="B491" s="12" t="s">
        <v>1225</v>
      </c>
      <c r="C491" s="12" t="s">
        <v>282</v>
      </c>
      <c r="D491" s="12" t="s">
        <v>283</v>
      </c>
      <c r="E491" s="12" t="s">
        <v>1258</v>
      </c>
      <c r="F491" s="12" t="s">
        <v>1259</v>
      </c>
      <c r="G491" s="12" t="s">
        <v>293</v>
      </c>
      <c r="H491" s="12" t="s">
        <v>287</v>
      </c>
      <c r="I491" s="12" t="s">
        <v>288</v>
      </c>
    </row>
    <row r="492" customFormat="false" ht="23.85" hidden="false" customHeight="false" outlineLevel="0" collapsed="false">
      <c r="A492" s="12" t="s">
        <v>109</v>
      </c>
      <c r="B492" s="12" t="s">
        <v>1225</v>
      </c>
      <c r="C492" s="12" t="s">
        <v>282</v>
      </c>
      <c r="D492" s="12" t="s">
        <v>283</v>
      </c>
      <c r="E492" s="12" t="s">
        <v>1260</v>
      </c>
      <c r="F492" s="12" t="s">
        <v>1261</v>
      </c>
      <c r="G492" s="12" t="s">
        <v>293</v>
      </c>
      <c r="H492" s="12" t="s">
        <v>287</v>
      </c>
      <c r="I492" s="12" t="s">
        <v>288</v>
      </c>
    </row>
    <row r="493" customFormat="false" ht="23.85" hidden="false" customHeight="false" outlineLevel="0" collapsed="false">
      <c r="A493" s="12" t="s">
        <v>109</v>
      </c>
      <c r="B493" s="12" t="s">
        <v>1225</v>
      </c>
      <c r="C493" s="12" t="s">
        <v>282</v>
      </c>
      <c r="D493" s="12" t="s">
        <v>283</v>
      </c>
      <c r="E493" s="12" t="s">
        <v>1262</v>
      </c>
      <c r="F493" s="12" t="s">
        <v>1263</v>
      </c>
      <c r="G493" s="12" t="s">
        <v>286</v>
      </c>
      <c r="H493" s="12" t="s">
        <v>287</v>
      </c>
      <c r="I493" s="12" t="s">
        <v>288</v>
      </c>
    </row>
    <row r="494" customFormat="false" ht="23.85" hidden="false" customHeight="false" outlineLevel="0" collapsed="false">
      <c r="A494" s="12" t="s">
        <v>109</v>
      </c>
      <c r="B494" s="12" t="s">
        <v>1225</v>
      </c>
      <c r="C494" s="12" t="s">
        <v>282</v>
      </c>
      <c r="D494" s="12" t="s">
        <v>283</v>
      </c>
      <c r="E494" s="12" t="s">
        <v>1264</v>
      </c>
      <c r="F494" s="12" t="s">
        <v>1265</v>
      </c>
      <c r="G494" s="12" t="s">
        <v>293</v>
      </c>
      <c r="H494" s="12" t="s">
        <v>287</v>
      </c>
      <c r="I494" s="12" t="s">
        <v>288</v>
      </c>
    </row>
    <row r="495" customFormat="false" ht="23.85" hidden="false" customHeight="false" outlineLevel="0" collapsed="false">
      <c r="A495" s="12" t="s">
        <v>109</v>
      </c>
      <c r="B495" s="12" t="s">
        <v>1225</v>
      </c>
      <c r="C495" s="12" t="s">
        <v>282</v>
      </c>
      <c r="D495" s="12" t="s">
        <v>283</v>
      </c>
      <c r="E495" s="12" t="s">
        <v>1266</v>
      </c>
      <c r="F495" s="12" t="s">
        <v>1267</v>
      </c>
      <c r="G495" s="12" t="s">
        <v>293</v>
      </c>
      <c r="H495" s="12" t="s">
        <v>287</v>
      </c>
      <c r="I495" s="12" t="s">
        <v>288</v>
      </c>
    </row>
    <row r="496" customFormat="false" ht="23.85" hidden="false" customHeight="false" outlineLevel="0" collapsed="false">
      <c r="A496" s="12" t="s">
        <v>109</v>
      </c>
      <c r="B496" s="12" t="s">
        <v>1225</v>
      </c>
      <c r="C496" s="12" t="s">
        <v>282</v>
      </c>
      <c r="D496" s="12" t="s">
        <v>283</v>
      </c>
      <c r="E496" s="12" t="s">
        <v>1268</v>
      </c>
      <c r="F496" s="12" t="s">
        <v>1269</v>
      </c>
      <c r="G496" s="12" t="s">
        <v>293</v>
      </c>
      <c r="H496" s="12" t="s">
        <v>287</v>
      </c>
      <c r="I496" s="12" t="s">
        <v>288</v>
      </c>
    </row>
    <row r="497" customFormat="false" ht="23.85" hidden="false" customHeight="false" outlineLevel="0" collapsed="false">
      <c r="A497" s="12" t="s">
        <v>109</v>
      </c>
      <c r="B497" s="12" t="s">
        <v>1225</v>
      </c>
      <c r="C497" s="12" t="s">
        <v>282</v>
      </c>
      <c r="D497" s="12" t="s">
        <v>283</v>
      </c>
      <c r="E497" s="12" t="s">
        <v>1270</v>
      </c>
      <c r="F497" s="12" t="s">
        <v>1271</v>
      </c>
      <c r="G497" s="12" t="s">
        <v>293</v>
      </c>
      <c r="H497" s="12" t="s">
        <v>287</v>
      </c>
      <c r="I497" s="12" t="s">
        <v>288</v>
      </c>
    </row>
    <row r="498" customFormat="false" ht="23.85" hidden="false" customHeight="false" outlineLevel="0" collapsed="false">
      <c r="A498" s="12" t="s">
        <v>109</v>
      </c>
      <c r="B498" s="12" t="s">
        <v>1225</v>
      </c>
      <c r="C498" s="12" t="s">
        <v>282</v>
      </c>
      <c r="D498" s="12" t="s">
        <v>283</v>
      </c>
      <c r="E498" s="12" t="s">
        <v>1272</v>
      </c>
      <c r="F498" s="12" t="s">
        <v>1273</v>
      </c>
      <c r="G498" s="12" t="s">
        <v>286</v>
      </c>
      <c r="H498" s="12" t="s">
        <v>287</v>
      </c>
      <c r="I498" s="12" t="s">
        <v>288</v>
      </c>
    </row>
    <row r="499" customFormat="false" ht="23.85" hidden="false" customHeight="false" outlineLevel="0" collapsed="false">
      <c r="A499" s="12" t="s">
        <v>109</v>
      </c>
      <c r="B499" s="12" t="s">
        <v>1225</v>
      </c>
      <c r="C499" s="12" t="s">
        <v>282</v>
      </c>
      <c r="D499" s="12" t="s">
        <v>283</v>
      </c>
      <c r="E499" s="12" t="s">
        <v>1274</v>
      </c>
      <c r="F499" s="12" t="s">
        <v>1275</v>
      </c>
      <c r="G499" s="12" t="s">
        <v>286</v>
      </c>
      <c r="H499" s="12" t="s">
        <v>287</v>
      </c>
      <c r="I499" s="12" t="s">
        <v>288</v>
      </c>
    </row>
    <row r="500" customFormat="false" ht="23.85" hidden="false" customHeight="false" outlineLevel="0" collapsed="false">
      <c r="A500" s="12" t="s">
        <v>109</v>
      </c>
      <c r="B500" s="12" t="s">
        <v>1225</v>
      </c>
      <c r="C500" s="12" t="s">
        <v>282</v>
      </c>
      <c r="D500" s="12" t="s">
        <v>283</v>
      </c>
      <c r="E500" s="12" t="s">
        <v>1276</v>
      </c>
      <c r="F500" s="12" t="s">
        <v>1277</v>
      </c>
      <c r="G500" s="12" t="s">
        <v>293</v>
      </c>
      <c r="H500" s="12" t="s">
        <v>287</v>
      </c>
      <c r="I500" s="12" t="s">
        <v>288</v>
      </c>
    </row>
    <row r="501" customFormat="false" ht="23.85" hidden="false" customHeight="false" outlineLevel="0" collapsed="false">
      <c r="A501" s="12" t="s">
        <v>109</v>
      </c>
      <c r="B501" s="12" t="s">
        <v>1225</v>
      </c>
      <c r="C501" s="12" t="s">
        <v>282</v>
      </c>
      <c r="D501" s="12" t="s">
        <v>283</v>
      </c>
      <c r="E501" s="12" t="s">
        <v>1278</v>
      </c>
      <c r="F501" s="12" t="s">
        <v>1279</v>
      </c>
      <c r="G501" s="12" t="s">
        <v>293</v>
      </c>
      <c r="H501" s="12" t="s">
        <v>287</v>
      </c>
      <c r="I501" s="12" t="s">
        <v>288</v>
      </c>
    </row>
    <row r="502" customFormat="false" ht="23.85" hidden="false" customHeight="false" outlineLevel="0" collapsed="false">
      <c r="A502" s="12" t="s">
        <v>109</v>
      </c>
      <c r="B502" s="12" t="s">
        <v>1225</v>
      </c>
      <c r="C502" s="12" t="s">
        <v>282</v>
      </c>
      <c r="D502" s="12" t="s">
        <v>283</v>
      </c>
      <c r="E502" s="12" t="s">
        <v>1280</v>
      </c>
      <c r="F502" s="12" t="s">
        <v>1281</v>
      </c>
      <c r="G502" s="12" t="s">
        <v>293</v>
      </c>
      <c r="H502" s="12" t="s">
        <v>287</v>
      </c>
      <c r="I502" s="12" t="s">
        <v>288</v>
      </c>
    </row>
    <row r="503" customFormat="false" ht="23.85" hidden="false" customHeight="false" outlineLevel="0" collapsed="false">
      <c r="A503" s="12" t="s">
        <v>109</v>
      </c>
      <c r="B503" s="12" t="s">
        <v>1225</v>
      </c>
      <c r="C503" s="12" t="s">
        <v>282</v>
      </c>
      <c r="D503" s="12" t="s">
        <v>283</v>
      </c>
      <c r="E503" s="12" t="s">
        <v>1282</v>
      </c>
      <c r="F503" s="12" t="s">
        <v>1283</v>
      </c>
      <c r="G503" s="12" t="s">
        <v>293</v>
      </c>
      <c r="H503" s="12" t="s">
        <v>287</v>
      </c>
      <c r="I503" s="12" t="s">
        <v>288</v>
      </c>
    </row>
    <row r="504" customFormat="false" ht="23.85" hidden="false" customHeight="false" outlineLevel="0" collapsed="false">
      <c r="A504" s="12" t="s">
        <v>109</v>
      </c>
      <c r="B504" s="12" t="s">
        <v>1225</v>
      </c>
      <c r="C504" s="12" t="s">
        <v>282</v>
      </c>
      <c r="D504" s="12" t="s">
        <v>283</v>
      </c>
      <c r="E504" s="12" t="s">
        <v>1284</v>
      </c>
      <c r="F504" s="12" t="s">
        <v>1285</v>
      </c>
      <c r="G504" s="12" t="s">
        <v>286</v>
      </c>
      <c r="H504" s="12" t="s">
        <v>287</v>
      </c>
      <c r="I504" s="12" t="s">
        <v>288</v>
      </c>
    </row>
    <row r="505" customFormat="false" ht="23.85" hidden="false" customHeight="false" outlineLevel="0" collapsed="false">
      <c r="A505" s="12" t="s">
        <v>109</v>
      </c>
      <c r="B505" s="12" t="s">
        <v>1225</v>
      </c>
      <c r="C505" s="12" t="s">
        <v>282</v>
      </c>
      <c r="D505" s="12" t="s">
        <v>283</v>
      </c>
      <c r="E505" s="12" t="s">
        <v>1286</v>
      </c>
      <c r="F505" s="12" t="s">
        <v>1287</v>
      </c>
      <c r="G505" s="12" t="s">
        <v>293</v>
      </c>
      <c r="H505" s="12" t="s">
        <v>287</v>
      </c>
      <c r="I505" s="12" t="s">
        <v>288</v>
      </c>
    </row>
    <row r="506" customFormat="false" ht="23.85" hidden="false" customHeight="false" outlineLevel="0" collapsed="false">
      <c r="A506" s="12" t="s">
        <v>109</v>
      </c>
      <c r="B506" s="12" t="s">
        <v>1225</v>
      </c>
      <c r="C506" s="12" t="s">
        <v>282</v>
      </c>
      <c r="D506" s="12" t="s">
        <v>283</v>
      </c>
      <c r="E506" s="12" t="s">
        <v>1288</v>
      </c>
      <c r="F506" s="12" t="s">
        <v>1289</v>
      </c>
      <c r="G506" s="12" t="s">
        <v>293</v>
      </c>
      <c r="H506" s="12" t="s">
        <v>287</v>
      </c>
      <c r="I506" s="12" t="s">
        <v>288</v>
      </c>
    </row>
    <row r="507" customFormat="false" ht="23.85" hidden="false" customHeight="false" outlineLevel="0" collapsed="false">
      <c r="A507" s="12" t="s">
        <v>109</v>
      </c>
      <c r="B507" s="12" t="s">
        <v>1225</v>
      </c>
      <c r="C507" s="12" t="s">
        <v>282</v>
      </c>
      <c r="D507" s="12" t="s">
        <v>283</v>
      </c>
      <c r="E507" s="12" t="s">
        <v>1290</v>
      </c>
      <c r="F507" s="12" t="s">
        <v>1291</v>
      </c>
      <c r="G507" s="12" t="s">
        <v>293</v>
      </c>
      <c r="H507" s="12" t="s">
        <v>287</v>
      </c>
      <c r="I507" s="12" t="s">
        <v>288</v>
      </c>
    </row>
    <row r="508" customFormat="false" ht="23.85" hidden="false" customHeight="false" outlineLevel="0" collapsed="false">
      <c r="A508" s="12" t="s">
        <v>109</v>
      </c>
      <c r="B508" s="12" t="s">
        <v>1225</v>
      </c>
      <c r="C508" s="12" t="s">
        <v>282</v>
      </c>
      <c r="D508" s="12" t="s">
        <v>283</v>
      </c>
      <c r="E508" s="12" t="s">
        <v>1292</v>
      </c>
      <c r="F508" s="12" t="s">
        <v>1293</v>
      </c>
      <c r="G508" s="12" t="s">
        <v>293</v>
      </c>
      <c r="H508" s="12" t="s">
        <v>287</v>
      </c>
      <c r="I508" s="12" t="s">
        <v>288</v>
      </c>
    </row>
    <row r="509" customFormat="false" ht="23.85" hidden="false" customHeight="false" outlineLevel="0" collapsed="false">
      <c r="A509" s="12" t="s">
        <v>109</v>
      </c>
      <c r="B509" s="12" t="s">
        <v>1225</v>
      </c>
      <c r="C509" s="12" t="s">
        <v>282</v>
      </c>
      <c r="D509" s="12" t="s">
        <v>283</v>
      </c>
      <c r="E509" s="12" t="s">
        <v>1294</v>
      </c>
      <c r="F509" s="12" t="s">
        <v>1295</v>
      </c>
      <c r="G509" s="12" t="s">
        <v>286</v>
      </c>
      <c r="H509" s="12" t="s">
        <v>287</v>
      </c>
      <c r="I509" s="12" t="s">
        <v>288</v>
      </c>
    </row>
    <row r="510" customFormat="false" ht="23.85" hidden="false" customHeight="false" outlineLevel="0" collapsed="false">
      <c r="A510" s="12" t="s">
        <v>109</v>
      </c>
      <c r="B510" s="12" t="s">
        <v>1225</v>
      </c>
      <c r="C510" s="12" t="s">
        <v>282</v>
      </c>
      <c r="D510" s="12" t="s">
        <v>283</v>
      </c>
      <c r="E510" s="12" t="s">
        <v>1296</v>
      </c>
      <c r="F510" s="12" t="s">
        <v>1297</v>
      </c>
      <c r="G510" s="12" t="s">
        <v>286</v>
      </c>
      <c r="H510" s="12" t="s">
        <v>287</v>
      </c>
      <c r="I510" s="12" t="s">
        <v>288</v>
      </c>
    </row>
    <row r="511" customFormat="false" ht="23.85" hidden="false" customHeight="false" outlineLevel="0" collapsed="false">
      <c r="A511" s="12" t="s">
        <v>109</v>
      </c>
      <c r="B511" s="12" t="s">
        <v>1225</v>
      </c>
      <c r="C511" s="12" t="s">
        <v>282</v>
      </c>
      <c r="D511" s="12" t="s">
        <v>283</v>
      </c>
      <c r="E511" s="12" t="s">
        <v>1298</v>
      </c>
      <c r="F511" s="12" t="s">
        <v>1299</v>
      </c>
      <c r="G511" s="12" t="s">
        <v>293</v>
      </c>
      <c r="H511" s="12" t="s">
        <v>287</v>
      </c>
      <c r="I511" s="12" t="s">
        <v>288</v>
      </c>
    </row>
    <row r="512" customFormat="false" ht="23.85" hidden="false" customHeight="false" outlineLevel="0" collapsed="false">
      <c r="A512" s="12" t="s">
        <v>109</v>
      </c>
      <c r="B512" s="12" t="s">
        <v>1225</v>
      </c>
      <c r="C512" s="12" t="s">
        <v>282</v>
      </c>
      <c r="D512" s="12" t="s">
        <v>283</v>
      </c>
      <c r="E512" s="12" t="s">
        <v>1300</v>
      </c>
      <c r="F512" s="12" t="s">
        <v>1301</v>
      </c>
      <c r="G512" s="12" t="s">
        <v>293</v>
      </c>
      <c r="H512" s="12" t="s">
        <v>287</v>
      </c>
      <c r="I512" s="12" t="s">
        <v>288</v>
      </c>
    </row>
    <row r="513" customFormat="false" ht="23.85" hidden="false" customHeight="false" outlineLevel="0" collapsed="false">
      <c r="A513" s="12" t="s">
        <v>109</v>
      </c>
      <c r="B513" s="12" t="s">
        <v>1225</v>
      </c>
      <c r="C513" s="12" t="s">
        <v>282</v>
      </c>
      <c r="D513" s="12" t="s">
        <v>283</v>
      </c>
      <c r="E513" s="12" t="s">
        <v>1302</v>
      </c>
      <c r="F513" s="12" t="s">
        <v>1303</v>
      </c>
      <c r="G513" s="12" t="s">
        <v>293</v>
      </c>
      <c r="H513" s="12" t="s">
        <v>287</v>
      </c>
      <c r="I513" s="12" t="s">
        <v>288</v>
      </c>
    </row>
    <row r="514" customFormat="false" ht="23.85" hidden="false" customHeight="false" outlineLevel="0" collapsed="false">
      <c r="A514" s="12" t="s">
        <v>109</v>
      </c>
      <c r="B514" s="12" t="s">
        <v>1225</v>
      </c>
      <c r="C514" s="12" t="s">
        <v>282</v>
      </c>
      <c r="D514" s="12" t="s">
        <v>283</v>
      </c>
      <c r="E514" s="12" t="s">
        <v>1304</v>
      </c>
      <c r="F514" s="12" t="s">
        <v>1305</v>
      </c>
      <c r="G514" s="12" t="s">
        <v>293</v>
      </c>
      <c r="H514" s="12" t="s">
        <v>287</v>
      </c>
      <c r="I514" s="12" t="s">
        <v>288</v>
      </c>
    </row>
    <row r="515" customFormat="false" ht="23.85" hidden="false" customHeight="false" outlineLevel="0" collapsed="false">
      <c r="A515" s="12" t="s">
        <v>109</v>
      </c>
      <c r="B515" s="12" t="s">
        <v>1225</v>
      </c>
      <c r="C515" s="12" t="s">
        <v>282</v>
      </c>
      <c r="D515" s="12" t="s">
        <v>283</v>
      </c>
      <c r="E515" s="12" t="s">
        <v>1306</v>
      </c>
      <c r="F515" s="12" t="s">
        <v>1307</v>
      </c>
      <c r="G515" s="12" t="s">
        <v>286</v>
      </c>
      <c r="H515" s="12" t="s">
        <v>287</v>
      </c>
      <c r="I515" s="12" t="s">
        <v>288</v>
      </c>
    </row>
    <row r="516" customFormat="false" ht="23.85" hidden="false" customHeight="false" outlineLevel="0" collapsed="false">
      <c r="A516" s="12" t="s">
        <v>109</v>
      </c>
      <c r="B516" s="12" t="s">
        <v>1225</v>
      </c>
      <c r="C516" s="12" t="s">
        <v>282</v>
      </c>
      <c r="D516" s="12" t="s">
        <v>283</v>
      </c>
      <c r="E516" s="12" t="s">
        <v>1308</v>
      </c>
      <c r="F516" s="12" t="s">
        <v>1309</v>
      </c>
      <c r="G516" s="12" t="s">
        <v>293</v>
      </c>
      <c r="H516" s="12" t="s">
        <v>287</v>
      </c>
      <c r="I516" s="12" t="s">
        <v>288</v>
      </c>
    </row>
    <row r="517" customFormat="false" ht="23.85" hidden="false" customHeight="false" outlineLevel="0" collapsed="false">
      <c r="A517" s="12" t="s">
        <v>109</v>
      </c>
      <c r="B517" s="12" t="s">
        <v>1225</v>
      </c>
      <c r="C517" s="12" t="s">
        <v>282</v>
      </c>
      <c r="D517" s="12" t="s">
        <v>283</v>
      </c>
      <c r="E517" s="12" t="s">
        <v>1310</v>
      </c>
      <c r="F517" s="12" t="s">
        <v>1311</v>
      </c>
      <c r="G517" s="12" t="s">
        <v>293</v>
      </c>
      <c r="H517" s="12" t="s">
        <v>287</v>
      </c>
      <c r="I517" s="12" t="s">
        <v>288</v>
      </c>
    </row>
    <row r="518" customFormat="false" ht="23.85" hidden="false" customHeight="false" outlineLevel="0" collapsed="false">
      <c r="A518" s="12" t="s">
        <v>109</v>
      </c>
      <c r="B518" s="12" t="s">
        <v>1225</v>
      </c>
      <c r="C518" s="12" t="s">
        <v>282</v>
      </c>
      <c r="D518" s="12" t="s">
        <v>283</v>
      </c>
      <c r="E518" s="12" t="s">
        <v>1312</v>
      </c>
      <c r="F518" s="12" t="s">
        <v>1313</v>
      </c>
      <c r="G518" s="12" t="s">
        <v>293</v>
      </c>
      <c r="H518" s="12" t="s">
        <v>287</v>
      </c>
      <c r="I518" s="12" t="s">
        <v>288</v>
      </c>
    </row>
    <row r="519" customFormat="false" ht="23.85" hidden="false" customHeight="false" outlineLevel="0" collapsed="false">
      <c r="A519" s="12" t="s">
        <v>109</v>
      </c>
      <c r="B519" s="12" t="s">
        <v>1225</v>
      </c>
      <c r="C519" s="12" t="s">
        <v>282</v>
      </c>
      <c r="D519" s="12" t="s">
        <v>283</v>
      </c>
      <c r="E519" s="12" t="s">
        <v>1314</v>
      </c>
      <c r="F519" s="12" t="s">
        <v>1315</v>
      </c>
      <c r="G519" s="12" t="s">
        <v>293</v>
      </c>
      <c r="H519" s="12" t="s">
        <v>287</v>
      </c>
      <c r="I519" s="12" t="s">
        <v>288</v>
      </c>
    </row>
    <row r="520" customFormat="false" ht="23.85" hidden="false" customHeight="false" outlineLevel="0" collapsed="false">
      <c r="A520" s="12" t="s">
        <v>109</v>
      </c>
      <c r="B520" s="12" t="s">
        <v>1225</v>
      </c>
      <c r="C520" s="12" t="s">
        <v>282</v>
      </c>
      <c r="D520" s="12" t="s">
        <v>283</v>
      </c>
      <c r="E520" s="12" t="s">
        <v>1316</v>
      </c>
      <c r="F520" s="12" t="s">
        <v>1317</v>
      </c>
      <c r="G520" s="12" t="s">
        <v>286</v>
      </c>
      <c r="H520" s="12" t="s">
        <v>287</v>
      </c>
      <c r="I520" s="12" t="s">
        <v>288</v>
      </c>
    </row>
    <row r="521" customFormat="false" ht="23.85" hidden="false" customHeight="false" outlineLevel="0" collapsed="false">
      <c r="A521" s="12" t="s">
        <v>109</v>
      </c>
      <c r="B521" s="12" t="s">
        <v>1225</v>
      </c>
      <c r="C521" s="12" t="s">
        <v>282</v>
      </c>
      <c r="D521" s="12" t="s">
        <v>283</v>
      </c>
      <c r="E521" s="12" t="s">
        <v>1318</v>
      </c>
      <c r="F521" s="12" t="s">
        <v>1319</v>
      </c>
      <c r="G521" s="12" t="s">
        <v>286</v>
      </c>
      <c r="H521" s="12" t="s">
        <v>287</v>
      </c>
      <c r="I521" s="12" t="s">
        <v>288</v>
      </c>
    </row>
    <row r="522" customFormat="false" ht="23.85" hidden="false" customHeight="false" outlineLevel="0" collapsed="false">
      <c r="A522" s="12" t="s">
        <v>109</v>
      </c>
      <c r="B522" s="12" t="s">
        <v>1225</v>
      </c>
      <c r="C522" s="12" t="s">
        <v>282</v>
      </c>
      <c r="D522" s="12" t="s">
        <v>283</v>
      </c>
      <c r="E522" s="12" t="s">
        <v>1320</v>
      </c>
      <c r="F522" s="12" t="s">
        <v>1321</v>
      </c>
      <c r="G522" s="12" t="s">
        <v>293</v>
      </c>
      <c r="H522" s="12" t="s">
        <v>287</v>
      </c>
      <c r="I522" s="12" t="s">
        <v>288</v>
      </c>
    </row>
    <row r="523" customFormat="false" ht="23.85" hidden="false" customHeight="false" outlineLevel="0" collapsed="false">
      <c r="A523" s="12" t="s">
        <v>109</v>
      </c>
      <c r="B523" s="12" t="s">
        <v>1225</v>
      </c>
      <c r="C523" s="12" t="s">
        <v>282</v>
      </c>
      <c r="D523" s="12" t="s">
        <v>283</v>
      </c>
      <c r="E523" s="12" t="s">
        <v>1322</v>
      </c>
      <c r="F523" s="12" t="s">
        <v>1323</v>
      </c>
      <c r="G523" s="12" t="s">
        <v>293</v>
      </c>
      <c r="H523" s="12" t="s">
        <v>287</v>
      </c>
      <c r="I523" s="12" t="s">
        <v>288</v>
      </c>
    </row>
    <row r="524" customFormat="false" ht="23.85" hidden="false" customHeight="false" outlineLevel="0" collapsed="false">
      <c r="A524" s="12" t="s">
        <v>109</v>
      </c>
      <c r="B524" s="12" t="s">
        <v>1225</v>
      </c>
      <c r="C524" s="12" t="s">
        <v>282</v>
      </c>
      <c r="D524" s="12" t="s">
        <v>283</v>
      </c>
      <c r="E524" s="12" t="s">
        <v>1324</v>
      </c>
      <c r="F524" s="12" t="s">
        <v>1325</v>
      </c>
      <c r="G524" s="12" t="s">
        <v>293</v>
      </c>
      <c r="H524" s="12" t="s">
        <v>287</v>
      </c>
      <c r="I524" s="12" t="s">
        <v>288</v>
      </c>
    </row>
    <row r="525" customFormat="false" ht="23.85" hidden="false" customHeight="false" outlineLevel="0" collapsed="false">
      <c r="A525" s="12" t="s">
        <v>109</v>
      </c>
      <c r="B525" s="12" t="s">
        <v>1225</v>
      </c>
      <c r="C525" s="12" t="s">
        <v>282</v>
      </c>
      <c r="D525" s="12" t="s">
        <v>283</v>
      </c>
      <c r="E525" s="12" t="s">
        <v>1326</v>
      </c>
      <c r="F525" s="12" t="s">
        <v>1327</v>
      </c>
      <c r="G525" s="12" t="s">
        <v>293</v>
      </c>
      <c r="H525" s="12" t="s">
        <v>287</v>
      </c>
      <c r="I525" s="12" t="s">
        <v>288</v>
      </c>
    </row>
    <row r="526" customFormat="false" ht="23.85" hidden="false" customHeight="false" outlineLevel="0" collapsed="false">
      <c r="A526" s="12" t="s">
        <v>109</v>
      </c>
      <c r="B526" s="12" t="s">
        <v>1225</v>
      </c>
      <c r="C526" s="12" t="s">
        <v>282</v>
      </c>
      <c r="D526" s="12" t="s">
        <v>283</v>
      </c>
      <c r="E526" s="12" t="s">
        <v>1328</v>
      </c>
      <c r="F526" s="12" t="s">
        <v>1329</v>
      </c>
      <c r="G526" s="12" t="s">
        <v>286</v>
      </c>
      <c r="H526" s="12" t="s">
        <v>287</v>
      </c>
      <c r="I526" s="12" t="s">
        <v>288</v>
      </c>
    </row>
    <row r="527" customFormat="false" ht="23.85" hidden="false" customHeight="false" outlineLevel="0" collapsed="false">
      <c r="A527" s="12" t="s">
        <v>109</v>
      </c>
      <c r="B527" s="12" t="s">
        <v>1225</v>
      </c>
      <c r="C527" s="12" t="s">
        <v>282</v>
      </c>
      <c r="D527" s="12" t="s">
        <v>283</v>
      </c>
      <c r="E527" s="12" t="s">
        <v>1330</v>
      </c>
      <c r="F527" s="12" t="s">
        <v>1331</v>
      </c>
      <c r="G527" s="12" t="s">
        <v>293</v>
      </c>
      <c r="H527" s="12" t="s">
        <v>287</v>
      </c>
      <c r="I527" s="12" t="s">
        <v>288</v>
      </c>
    </row>
    <row r="528" customFormat="false" ht="23.85" hidden="false" customHeight="false" outlineLevel="0" collapsed="false">
      <c r="A528" s="12" t="s">
        <v>109</v>
      </c>
      <c r="B528" s="12" t="s">
        <v>1225</v>
      </c>
      <c r="C528" s="12" t="s">
        <v>282</v>
      </c>
      <c r="D528" s="12" t="s">
        <v>283</v>
      </c>
      <c r="E528" s="12" t="s">
        <v>1332</v>
      </c>
      <c r="F528" s="12" t="s">
        <v>1333</v>
      </c>
      <c r="G528" s="12" t="s">
        <v>293</v>
      </c>
      <c r="H528" s="12" t="s">
        <v>287</v>
      </c>
      <c r="I528" s="12" t="s">
        <v>288</v>
      </c>
    </row>
    <row r="529" customFormat="false" ht="23.85" hidden="false" customHeight="false" outlineLevel="0" collapsed="false">
      <c r="A529" s="12" t="s">
        <v>109</v>
      </c>
      <c r="B529" s="12" t="s">
        <v>1225</v>
      </c>
      <c r="C529" s="12" t="s">
        <v>282</v>
      </c>
      <c r="D529" s="12" t="s">
        <v>283</v>
      </c>
      <c r="E529" s="12" t="s">
        <v>1334</v>
      </c>
      <c r="F529" s="12" t="s">
        <v>1335</v>
      </c>
      <c r="G529" s="12" t="s">
        <v>293</v>
      </c>
      <c r="H529" s="12" t="s">
        <v>287</v>
      </c>
      <c r="I529" s="12" t="s">
        <v>288</v>
      </c>
    </row>
    <row r="530" customFormat="false" ht="23.85" hidden="false" customHeight="false" outlineLevel="0" collapsed="false">
      <c r="A530" s="12" t="s">
        <v>109</v>
      </c>
      <c r="B530" s="12" t="s">
        <v>1225</v>
      </c>
      <c r="C530" s="12" t="s">
        <v>282</v>
      </c>
      <c r="D530" s="12" t="s">
        <v>283</v>
      </c>
      <c r="E530" s="12" t="s">
        <v>1336</v>
      </c>
      <c r="F530" s="12" t="s">
        <v>1337</v>
      </c>
      <c r="G530" s="12" t="s">
        <v>293</v>
      </c>
      <c r="H530" s="12" t="s">
        <v>287</v>
      </c>
      <c r="I530" s="12" t="s">
        <v>288</v>
      </c>
    </row>
    <row r="531" customFormat="false" ht="23.85" hidden="false" customHeight="false" outlineLevel="0" collapsed="false">
      <c r="A531" s="12" t="s">
        <v>109</v>
      </c>
      <c r="B531" s="12" t="s">
        <v>1225</v>
      </c>
      <c r="C531" s="12" t="s">
        <v>282</v>
      </c>
      <c r="D531" s="12" t="s">
        <v>283</v>
      </c>
      <c r="E531" s="12" t="s">
        <v>1338</v>
      </c>
      <c r="F531" s="12" t="s">
        <v>1339</v>
      </c>
      <c r="G531" s="12" t="s">
        <v>286</v>
      </c>
      <c r="H531" s="12" t="s">
        <v>287</v>
      </c>
      <c r="I531" s="12" t="s">
        <v>288</v>
      </c>
    </row>
    <row r="532" customFormat="false" ht="23.85" hidden="false" customHeight="false" outlineLevel="0" collapsed="false">
      <c r="A532" s="12" t="s">
        <v>109</v>
      </c>
      <c r="B532" s="12" t="s">
        <v>1225</v>
      </c>
      <c r="C532" s="12" t="s">
        <v>282</v>
      </c>
      <c r="D532" s="12" t="s">
        <v>283</v>
      </c>
      <c r="E532" s="12" t="s">
        <v>1340</v>
      </c>
      <c r="F532" s="12" t="s">
        <v>1341</v>
      </c>
      <c r="G532" s="12" t="s">
        <v>293</v>
      </c>
      <c r="H532" s="12" t="s">
        <v>287</v>
      </c>
      <c r="I532" s="12" t="s">
        <v>288</v>
      </c>
    </row>
    <row r="533" customFormat="false" ht="23.85" hidden="false" customHeight="false" outlineLevel="0" collapsed="false">
      <c r="A533" s="12" t="s">
        <v>109</v>
      </c>
      <c r="B533" s="12" t="s">
        <v>1225</v>
      </c>
      <c r="C533" s="12" t="s">
        <v>282</v>
      </c>
      <c r="D533" s="12" t="s">
        <v>283</v>
      </c>
      <c r="E533" s="12" t="s">
        <v>1342</v>
      </c>
      <c r="F533" s="12" t="s">
        <v>1343</v>
      </c>
      <c r="G533" s="12" t="s">
        <v>293</v>
      </c>
      <c r="H533" s="12" t="s">
        <v>287</v>
      </c>
      <c r="I533" s="12" t="s">
        <v>288</v>
      </c>
    </row>
    <row r="534" customFormat="false" ht="23.85" hidden="false" customHeight="false" outlineLevel="0" collapsed="false">
      <c r="A534" s="12" t="s">
        <v>109</v>
      </c>
      <c r="B534" s="12" t="s">
        <v>1225</v>
      </c>
      <c r="C534" s="12" t="s">
        <v>282</v>
      </c>
      <c r="D534" s="12" t="s">
        <v>283</v>
      </c>
      <c r="E534" s="12" t="s">
        <v>1344</v>
      </c>
      <c r="F534" s="12" t="s">
        <v>1345</v>
      </c>
      <c r="G534" s="12" t="s">
        <v>293</v>
      </c>
      <c r="H534" s="12" t="s">
        <v>287</v>
      </c>
      <c r="I534" s="12" t="s">
        <v>288</v>
      </c>
    </row>
    <row r="535" customFormat="false" ht="23.85" hidden="false" customHeight="false" outlineLevel="0" collapsed="false">
      <c r="A535" s="12" t="s">
        <v>109</v>
      </c>
      <c r="B535" s="12" t="s">
        <v>1225</v>
      </c>
      <c r="C535" s="12" t="s">
        <v>282</v>
      </c>
      <c r="D535" s="12" t="s">
        <v>283</v>
      </c>
      <c r="E535" s="12" t="s">
        <v>1346</v>
      </c>
      <c r="F535" s="12" t="s">
        <v>1347</v>
      </c>
      <c r="G535" s="12" t="s">
        <v>293</v>
      </c>
      <c r="H535" s="12" t="s">
        <v>287</v>
      </c>
      <c r="I535" s="12" t="s">
        <v>288</v>
      </c>
    </row>
    <row r="536" customFormat="false" ht="23.85" hidden="false" customHeight="false" outlineLevel="0" collapsed="false">
      <c r="A536" s="12" t="s">
        <v>109</v>
      </c>
      <c r="B536" s="12" t="s">
        <v>1225</v>
      </c>
      <c r="C536" s="12" t="s">
        <v>282</v>
      </c>
      <c r="D536" s="12" t="s">
        <v>283</v>
      </c>
      <c r="E536" s="12" t="s">
        <v>1348</v>
      </c>
      <c r="F536" s="12" t="s">
        <v>1349</v>
      </c>
      <c r="G536" s="12" t="s">
        <v>286</v>
      </c>
      <c r="H536" s="12" t="s">
        <v>287</v>
      </c>
      <c r="I536" s="12" t="s">
        <v>288</v>
      </c>
    </row>
    <row r="537" customFormat="false" ht="23.85" hidden="false" customHeight="false" outlineLevel="0" collapsed="false">
      <c r="A537" s="12" t="s">
        <v>109</v>
      </c>
      <c r="B537" s="12" t="s">
        <v>1225</v>
      </c>
      <c r="C537" s="12" t="s">
        <v>282</v>
      </c>
      <c r="D537" s="12" t="s">
        <v>283</v>
      </c>
      <c r="E537" s="12" t="s">
        <v>1350</v>
      </c>
      <c r="F537" s="12" t="s">
        <v>1351</v>
      </c>
      <c r="G537" s="12" t="s">
        <v>293</v>
      </c>
      <c r="H537" s="12" t="s">
        <v>287</v>
      </c>
      <c r="I537" s="12" t="s">
        <v>288</v>
      </c>
    </row>
    <row r="538" customFormat="false" ht="23.85" hidden="false" customHeight="false" outlineLevel="0" collapsed="false">
      <c r="A538" s="12" t="s">
        <v>109</v>
      </c>
      <c r="B538" s="12" t="s">
        <v>1225</v>
      </c>
      <c r="C538" s="12" t="s">
        <v>282</v>
      </c>
      <c r="D538" s="12" t="s">
        <v>283</v>
      </c>
      <c r="E538" s="12" t="s">
        <v>1352</v>
      </c>
      <c r="F538" s="12" t="s">
        <v>1353</v>
      </c>
      <c r="G538" s="12" t="s">
        <v>293</v>
      </c>
      <c r="H538" s="12" t="s">
        <v>287</v>
      </c>
      <c r="I538" s="12" t="s">
        <v>288</v>
      </c>
    </row>
    <row r="539" customFormat="false" ht="23.85" hidden="false" customHeight="false" outlineLevel="0" collapsed="false">
      <c r="A539" s="12" t="s">
        <v>109</v>
      </c>
      <c r="B539" s="12" t="s">
        <v>1225</v>
      </c>
      <c r="C539" s="12" t="s">
        <v>282</v>
      </c>
      <c r="D539" s="12" t="s">
        <v>283</v>
      </c>
      <c r="E539" s="12" t="s">
        <v>1354</v>
      </c>
      <c r="F539" s="12" t="s">
        <v>1355</v>
      </c>
      <c r="G539" s="12" t="s">
        <v>293</v>
      </c>
      <c r="H539" s="12" t="s">
        <v>287</v>
      </c>
      <c r="I539" s="12" t="s">
        <v>288</v>
      </c>
    </row>
    <row r="540" customFormat="false" ht="23.85" hidden="false" customHeight="false" outlineLevel="0" collapsed="false">
      <c r="A540" s="12" t="s">
        <v>109</v>
      </c>
      <c r="B540" s="12" t="s">
        <v>1225</v>
      </c>
      <c r="C540" s="12" t="s">
        <v>282</v>
      </c>
      <c r="D540" s="12" t="s">
        <v>283</v>
      </c>
      <c r="E540" s="12" t="s">
        <v>1356</v>
      </c>
      <c r="F540" s="12" t="s">
        <v>1357</v>
      </c>
      <c r="G540" s="12" t="s">
        <v>293</v>
      </c>
      <c r="H540" s="12" t="s">
        <v>287</v>
      </c>
      <c r="I540" s="12" t="s">
        <v>288</v>
      </c>
    </row>
    <row r="541" customFormat="false" ht="23.85" hidden="false" customHeight="false" outlineLevel="0" collapsed="false">
      <c r="A541" s="12" t="s">
        <v>109</v>
      </c>
      <c r="B541" s="12" t="s">
        <v>1225</v>
      </c>
      <c r="C541" s="12" t="s">
        <v>282</v>
      </c>
      <c r="D541" s="12" t="s">
        <v>283</v>
      </c>
      <c r="E541" s="12" t="s">
        <v>1358</v>
      </c>
      <c r="F541" s="12" t="s">
        <v>1359</v>
      </c>
      <c r="G541" s="12" t="s">
        <v>286</v>
      </c>
      <c r="H541" s="12" t="s">
        <v>287</v>
      </c>
      <c r="I541" s="12" t="s">
        <v>288</v>
      </c>
    </row>
    <row r="542" customFormat="false" ht="23.85" hidden="false" customHeight="false" outlineLevel="0" collapsed="false">
      <c r="A542" s="12" t="s">
        <v>109</v>
      </c>
      <c r="B542" s="12" t="s">
        <v>1225</v>
      </c>
      <c r="C542" s="12" t="s">
        <v>282</v>
      </c>
      <c r="D542" s="12" t="s">
        <v>283</v>
      </c>
      <c r="E542" s="12" t="s">
        <v>1360</v>
      </c>
      <c r="F542" s="12" t="s">
        <v>1361</v>
      </c>
      <c r="G542" s="12" t="s">
        <v>293</v>
      </c>
      <c r="H542" s="12" t="s">
        <v>287</v>
      </c>
      <c r="I542" s="12" t="s">
        <v>288</v>
      </c>
    </row>
    <row r="543" customFormat="false" ht="23.85" hidden="false" customHeight="false" outlineLevel="0" collapsed="false">
      <c r="A543" s="12" t="s">
        <v>109</v>
      </c>
      <c r="B543" s="12" t="s">
        <v>1225</v>
      </c>
      <c r="C543" s="12" t="s">
        <v>282</v>
      </c>
      <c r="D543" s="12" t="s">
        <v>283</v>
      </c>
      <c r="E543" s="12" t="s">
        <v>1362</v>
      </c>
      <c r="F543" s="12" t="s">
        <v>1363</v>
      </c>
      <c r="G543" s="12" t="s">
        <v>293</v>
      </c>
      <c r="H543" s="12" t="s">
        <v>287</v>
      </c>
      <c r="I543" s="12" t="s">
        <v>288</v>
      </c>
    </row>
    <row r="544" customFormat="false" ht="23.85" hidden="false" customHeight="false" outlineLevel="0" collapsed="false">
      <c r="A544" s="12" t="s">
        <v>109</v>
      </c>
      <c r="B544" s="12" t="s">
        <v>1225</v>
      </c>
      <c r="C544" s="12" t="s">
        <v>282</v>
      </c>
      <c r="D544" s="12" t="s">
        <v>283</v>
      </c>
      <c r="E544" s="12" t="s">
        <v>1364</v>
      </c>
      <c r="F544" s="12" t="s">
        <v>1365</v>
      </c>
      <c r="G544" s="12" t="s">
        <v>293</v>
      </c>
      <c r="H544" s="12" t="s">
        <v>287</v>
      </c>
      <c r="I544" s="12" t="s">
        <v>288</v>
      </c>
    </row>
    <row r="545" customFormat="false" ht="23.85" hidden="false" customHeight="false" outlineLevel="0" collapsed="false">
      <c r="A545" s="12" t="s">
        <v>109</v>
      </c>
      <c r="B545" s="12" t="s">
        <v>1225</v>
      </c>
      <c r="C545" s="12" t="s">
        <v>282</v>
      </c>
      <c r="D545" s="12" t="s">
        <v>283</v>
      </c>
      <c r="E545" s="12" t="s">
        <v>1366</v>
      </c>
      <c r="F545" s="12" t="s">
        <v>1367</v>
      </c>
      <c r="G545" s="12" t="s">
        <v>293</v>
      </c>
      <c r="H545" s="12" t="s">
        <v>287</v>
      </c>
      <c r="I545" s="12" t="s">
        <v>288</v>
      </c>
    </row>
    <row r="546" customFormat="false" ht="23.85" hidden="false" customHeight="false" outlineLevel="0" collapsed="false">
      <c r="A546" s="12" t="s">
        <v>109</v>
      </c>
      <c r="B546" s="12" t="s">
        <v>1225</v>
      </c>
      <c r="C546" s="12" t="s">
        <v>282</v>
      </c>
      <c r="D546" s="12" t="s">
        <v>283</v>
      </c>
      <c r="E546" s="12" t="s">
        <v>1368</v>
      </c>
      <c r="F546" s="12" t="s">
        <v>1369</v>
      </c>
      <c r="G546" s="12" t="s">
        <v>286</v>
      </c>
      <c r="H546" s="12" t="s">
        <v>287</v>
      </c>
      <c r="I546" s="12" t="s">
        <v>288</v>
      </c>
    </row>
    <row r="547" customFormat="false" ht="23.85" hidden="false" customHeight="false" outlineLevel="0" collapsed="false">
      <c r="A547" s="12" t="s">
        <v>109</v>
      </c>
      <c r="B547" s="12" t="s">
        <v>1225</v>
      </c>
      <c r="C547" s="12" t="s">
        <v>282</v>
      </c>
      <c r="D547" s="12" t="s">
        <v>283</v>
      </c>
      <c r="E547" s="12" t="s">
        <v>1370</v>
      </c>
      <c r="F547" s="12" t="s">
        <v>1371</v>
      </c>
      <c r="G547" s="12" t="s">
        <v>293</v>
      </c>
      <c r="H547" s="12" t="s">
        <v>287</v>
      </c>
      <c r="I547" s="12" t="s">
        <v>288</v>
      </c>
    </row>
    <row r="548" customFormat="false" ht="23.85" hidden="false" customHeight="false" outlineLevel="0" collapsed="false">
      <c r="A548" s="12" t="s">
        <v>109</v>
      </c>
      <c r="B548" s="12" t="s">
        <v>1225</v>
      </c>
      <c r="C548" s="12" t="s">
        <v>282</v>
      </c>
      <c r="D548" s="12" t="s">
        <v>283</v>
      </c>
      <c r="E548" s="12" t="s">
        <v>1372</v>
      </c>
      <c r="F548" s="12" t="s">
        <v>1373</v>
      </c>
      <c r="G548" s="12" t="s">
        <v>293</v>
      </c>
      <c r="H548" s="12" t="s">
        <v>287</v>
      </c>
      <c r="I548" s="12" t="s">
        <v>288</v>
      </c>
    </row>
    <row r="549" customFormat="false" ht="23.85" hidden="false" customHeight="false" outlineLevel="0" collapsed="false">
      <c r="A549" s="12" t="s">
        <v>109</v>
      </c>
      <c r="B549" s="12" t="s">
        <v>1225</v>
      </c>
      <c r="C549" s="12" t="s">
        <v>282</v>
      </c>
      <c r="D549" s="12" t="s">
        <v>283</v>
      </c>
      <c r="E549" s="12" t="s">
        <v>1374</v>
      </c>
      <c r="F549" s="12" t="s">
        <v>1375</v>
      </c>
      <c r="G549" s="12" t="s">
        <v>293</v>
      </c>
      <c r="H549" s="12" t="s">
        <v>287</v>
      </c>
      <c r="I549" s="12" t="s">
        <v>288</v>
      </c>
    </row>
    <row r="550" customFormat="false" ht="23.85" hidden="false" customHeight="false" outlineLevel="0" collapsed="false">
      <c r="A550" s="12" t="s">
        <v>109</v>
      </c>
      <c r="B550" s="12" t="s">
        <v>1225</v>
      </c>
      <c r="C550" s="12" t="s">
        <v>282</v>
      </c>
      <c r="D550" s="12" t="s">
        <v>283</v>
      </c>
      <c r="E550" s="12" t="s">
        <v>1376</v>
      </c>
      <c r="F550" s="12" t="s">
        <v>1377</v>
      </c>
      <c r="G550" s="12" t="s">
        <v>293</v>
      </c>
      <c r="H550" s="12" t="s">
        <v>287</v>
      </c>
      <c r="I550" s="12" t="s">
        <v>288</v>
      </c>
    </row>
    <row r="551" customFormat="false" ht="23.85" hidden="false" customHeight="false" outlineLevel="0" collapsed="false">
      <c r="A551" s="12" t="s">
        <v>109</v>
      </c>
      <c r="B551" s="12" t="s">
        <v>1225</v>
      </c>
      <c r="C551" s="12" t="s">
        <v>282</v>
      </c>
      <c r="D551" s="12" t="s">
        <v>283</v>
      </c>
      <c r="E551" s="12" t="s">
        <v>1378</v>
      </c>
      <c r="F551" s="12" t="s">
        <v>1379</v>
      </c>
      <c r="G551" s="12" t="s">
        <v>293</v>
      </c>
      <c r="H551" s="12" t="s">
        <v>287</v>
      </c>
      <c r="I551" s="12" t="s">
        <v>288</v>
      </c>
    </row>
    <row r="552" customFormat="false" ht="23.85" hidden="false" customHeight="false" outlineLevel="0" collapsed="false">
      <c r="A552" s="12" t="s">
        <v>109</v>
      </c>
      <c r="B552" s="12" t="s">
        <v>1225</v>
      </c>
      <c r="C552" s="12" t="s">
        <v>282</v>
      </c>
      <c r="D552" s="12" t="s">
        <v>283</v>
      </c>
      <c r="E552" s="12" t="s">
        <v>1380</v>
      </c>
      <c r="F552" s="12" t="s">
        <v>1381</v>
      </c>
      <c r="G552" s="12" t="s">
        <v>286</v>
      </c>
      <c r="H552" s="12" t="s">
        <v>287</v>
      </c>
      <c r="I552" s="12" t="s">
        <v>288</v>
      </c>
    </row>
    <row r="553" customFormat="false" ht="23.85" hidden="false" customHeight="false" outlineLevel="0" collapsed="false">
      <c r="A553" s="12" t="s">
        <v>109</v>
      </c>
      <c r="B553" s="12" t="s">
        <v>1225</v>
      </c>
      <c r="C553" s="12" t="s">
        <v>282</v>
      </c>
      <c r="D553" s="12" t="s">
        <v>283</v>
      </c>
      <c r="E553" s="12" t="s">
        <v>1382</v>
      </c>
      <c r="F553" s="12" t="s">
        <v>1383</v>
      </c>
      <c r="G553" s="12" t="s">
        <v>293</v>
      </c>
      <c r="H553" s="12" t="s">
        <v>287</v>
      </c>
      <c r="I553" s="12" t="s">
        <v>288</v>
      </c>
    </row>
    <row r="554" customFormat="false" ht="23.85" hidden="false" customHeight="false" outlineLevel="0" collapsed="false">
      <c r="A554" s="12" t="s">
        <v>109</v>
      </c>
      <c r="B554" s="12" t="s">
        <v>1225</v>
      </c>
      <c r="C554" s="12" t="s">
        <v>282</v>
      </c>
      <c r="D554" s="12" t="s">
        <v>283</v>
      </c>
      <c r="E554" s="12" t="s">
        <v>1384</v>
      </c>
      <c r="F554" s="12" t="s">
        <v>1385</v>
      </c>
      <c r="G554" s="12" t="s">
        <v>293</v>
      </c>
      <c r="H554" s="12" t="s">
        <v>287</v>
      </c>
      <c r="I554" s="12" t="s">
        <v>288</v>
      </c>
    </row>
    <row r="555" customFormat="false" ht="23.85" hidden="false" customHeight="false" outlineLevel="0" collapsed="false">
      <c r="A555" s="12" t="s">
        <v>109</v>
      </c>
      <c r="B555" s="12" t="s">
        <v>1225</v>
      </c>
      <c r="C555" s="12" t="s">
        <v>282</v>
      </c>
      <c r="D555" s="12" t="s">
        <v>283</v>
      </c>
      <c r="E555" s="12" t="s">
        <v>1386</v>
      </c>
      <c r="F555" s="12" t="s">
        <v>1387</v>
      </c>
      <c r="G555" s="12" t="s">
        <v>293</v>
      </c>
      <c r="H555" s="12" t="s">
        <v>287</v>
      </c>
      <c r="I555" s="12" t="s">
        <v>288</v>
      </c>
    </row>
    <row r="556" customFormat="false" ht="23.85" hidden="false" customHeight="false" outlineLevel="0" collapsed="false">
      <c r="A556" s="12" t="s">
        <v>109</v>
      </c>
      <c r="B556" s="12" t="s">
        <v>1225</v>
      </c>
      <c r="C556" s="12" t="s">
        <v>282</v>
      </c>
      <c r="D556" s="12" t="s">
        <v>283</v>
      </c>
      <c r="E556" s="12" t="s">
        <v>1388</v>
      </c>
      <c r="F556" s="12" t="s">
        <v>1389</v>
      </c>
      <c r="G556" s="12" t="s">
        <v>293</v>
      </c>
      <c r="H556" s="12" t="s">
        <v>287</v>
      </c>
      <c r="I556" s="12" t="s">
        <v>288</v>
      </c>
    </row>
    <row r="557" customFormat="false" ht="23.85" hidden="false" customHeight="false" outlineLevel="0" collapsed="false">
      <c r="A557" s="12" t="s">
        <v>109</v>
      </c>
      <c r="B557" s="12" t="s">
        <v>1225</v>
      </c>
      <c r="C557" s="12" t="s">
        <v>282</v>
      </c>
      <c r="D557" s="12" t="s">
        <v>283</v>
      </c>
      <c r="E557" s="12" t="s">
        <v>1390</v>
      </c>
      <c r="F557" s="12" t="s">
        <v>1391</v>
      </c>
      <c r="G557" s="12" t="s">
        <v>293</v>
      </c>
      <c r="H557" s="12" t="s">
        <v>287</v>
      </c>
      <c r="I557" s="12" t="s">
        <v>288</v>
      </c>
    </row>
    <row r="558" customFormat="false" ht="23.85" hidden="false" customHeight="false" outlineLevel="0" collapsed="false">
      <c r="A558" s="12" t="s">
        <v>109</v>
      </c>
      <c r="B558" s="12" t="s">
        <v>1225</v>
      </c>
      <c r="C558" s="12" t="s">
        <v>282</v>
      </c>
      <c r="D558" s="12" t="s">
        <v>283</v>
      </c>
      <c r="E558" s="12" t="s">
        <v>1392</v>
      </c>
      <c r="F558" s="12" t="s">
        <v>1393</v>
      </c>
      <c r="G558" s="12" t="s">
        <v>286</v>
      </c>
      <c r="H558" s="12" t="s">
        <v>287</v>
      </c>
      <c r="I558" s="12" t="s">
        <v>288</v>
      </c>
    </row>
    <row r="559" customFormat="false" ht="23.85" hidden="false" customHeight="false" outlineLevel="0" collapsed="false">
      <c r="A559" s="12" t="s">
        <v>109</v>
      </c>
      <c r="B559" s="12" t="s">
        <v>1225</v>
      </c>
      <c r="C559" s="12" t="s">
        <v>282</v>
      </c>
      <c r="D559" s="12" t="s">
        <v>283</v>
      </c>
      <c r="E559" s="12" t="s">
        <v>1394</v>
      </c>
      <c r="F559" s="12" t="s">
        <v>1395</v>
      </c>
      <c r="G559" s="12" t="s">
        <v>293</v>
      </c>
      <c r="H559" s="12" t="s">
        <v>287</v>
      </c>
      <c r="I559" s="12" t="s">
        <v>288</v>
      </c>
    </row>
    <row r="560" customFormat="false" ht="23.85" hidden="false" customHeight="false" outlineLevel="0" collapsed="false">
      <c r="A560" s="12" t="s">
        <v>109</v>
      </c>
      <c r="B560" s="12" t="s">
        <v>1225</v>
      </c>
      <c r="C560" s="12" t="s">
        <v>282</v>
      </c>
      <c r="D560" s="12" t="s">
        <v>283</v>
      </c>
      <c r="E560" s="12" t="s">
        <v>1396</v>
      </c>
      <c r="F560" s="12" t="s">
        <v>1397</v>
      </c>
      <c r="G560" s="12" t="s">
        <v>293</v>
      </c>
      <c r="H560" s="12" t="s">
        <v>287</v>
      </c>
      <c r="I560" s="12" t="s">
        <v>288</v>
      </c>
    </row>
    <row r="561" customFormat="false" ht="23.85" hidden="false" customHeight="false" outlineLevel="0" collapsed="false">
      <c r="A561" s="12" t="s">
        <v>109</v>
      </c>
      <c r="B561" s="12" t="s">
        <v>1225</v>
      </c>
      <c r="C561" s="12" t="s">
        <v>282</v>
      </c>
      <c r="D561" s="12" t="s">
        <v>283</v>
      </c>
      <c r="E561" s="12" t="s">
        <v>1398</v>
      </c>
      <c r="F561" s="12" t="s">
        <v>1399</v>
      </c>
      <c r="G561" s="12" t="s">
        <v>293</v>
      </c>
      <c r="H561" s="12" t="s">
        <v>287</v>
      </c>
      <c r="I561" s="12" t="s">
        <v>288</v>
      </c>
    </row>
    <row r="562" customFormat="false" ht="23.85" hidden="false" customHeight="false" outlineLevel="0" collapsed="false">
      <c r="A562" s="12" t="s">
        <v>109</v>
      </c>
      <c r="B562" s="12" t="s">
        <v>1225</v>
      </c>
      <c r="C562" s="12" t="s">
        <v>282</v>
      </c>
      <c r="D562" s="12" t="s">
        <v>283</v>
      </c>
      <c r="E562" s="12" t="s">
        <v>1400</v>
      </c>
      <c r="F562" s="12" t="s">
        <v>1401</v>
      </c>
      <c r="G562" s="12" t="s">
        <v>293</v>
      </c>
      <c r="H562" s="12" t="s">
        <v>287</v>
      </c>
      <c r="I562" s="12" t="s">
        <v>288</v>
      </c>
    </row>
    <row r="563" customFormat="false" ht="23.85" hidden="false" customHeight="false" outlineLevel="0" collapsed="false">
      <c r="A563" s="12" t="s">
        <v>109</v>
      </c>
      <c r="B563" s="12" t="s">
        <v>1225</v>
      </c>
      <c r="C563" s="12" t="s">
        <v>282</v>
      </c>
      <c r="D563" s="12" t="s">
        <v>283</v>
      </c>
      <c r="E563" s="12" t="s">
        <v>1402</v>
      </c>
      <c r="F563" s="12" t="s">
        <v>1403</v>
      </c>
      <c r="G563" s="12" t="s">
        <v>293</v>
      </c>
      <c r="H563" s="12" t="s">
        <v>287</v>
      </c>
      <c r="I563" s="12" t="s">
        <v>288</v>
      </c>
    </row>
    <row r="564" customFormat="false" ht="23.85" hidden="false" customHeight="false" outlineLevel="0" collapsed="false">
      <c r="A564" s="12" t="s">
        <v>109</v>
      </c>
      <c r="B564" s="12" t="s">
        <v>1225</v>
      </c>
      <c r="C564" s="12" t="s">
        <v>282</v>
      </c>
      <c r="D564" s="12" t="s">
        <v>283</v>
      </c>
      <c r="E564" s="12" t="s">
        <v>1404</v>
      </c>
      <c r="F564" s="12" t="s">
        <v>1405</v>
      </c>
      <c r="G564" s="12" t="s">
        <v>293</v>
      </c>
      <c r="H564" s="12" t="s">
        <v>287</v>
      </c>
      <c r="I564" s="12" t="s">
        <v>288</v>
      </c>
    </row>
    <row r="565" customFormat="false" ht="23.85" hidden="false" customHeight="false" outlineLevel="0" collapsed="false">
      <c r="A565" s="12" t="s">
        <v>109</v>
      </c>
      <c r="B565" s="12" t="s">
        <v>1225</v>
      </c>
      <c r="C565" s="12" t="s">
        <v>282</v>
      </c>
      <c r="D565" s="12" t="s">
        <v>283</v>
      </c>
      <c r="E565" s="12" t="s">
        <v>1406</v>
      </c>
      <c r="F565" s="12" t="s">
        <v>1407</v>
      </c>
      <c r="G565" s="12" t="s">
        <v>286</v>
      </c>
      <c r="H565" s="12" t="s">
        <v>287</v>
      </c>
      <c r="I565" s="12" t="s">
        <v>288</v>
      </c>
    </row>
    <row r="566" customFormat="false" ht="23.85" hidden="false" customHeight="false" outlineLevel="0" collapsed="false">
      <c r="A566" s="12" t="s">
        <v>109</v>
      </c>
      <c r="B566" s="12" t="s">
        <v>1225</v>
      </c>
      <c r="C566" s="12" t="s">
        <v>282</v>
      </c>
      <c r="D566" s="12" t="s">
        <v>283</v>
      </c>
      <c r="E566" s="12" t="s">
        <v>1408</v>
      </c>
      <c r="F566" s="12" t="s">
        <v>1409</v>
      </c>
      <c r="G566" s="12" t="s">
        <v>293</v>
      </c>
      <c r="H566" s="12" t="s">
        <v>287</v>
      </c>
      <c r="I566" s="12" t="s">
        <v>288</v>
      </c>
    </row>
    <row r="567" customFormat="false" ht="23.85" hidden="false" customHeight="false" outlineLevel="0" collapsed="false">
      <c r="A567" s="12" t="s">
        <v>109</v>
      </c>
      <c r="B567" s="12" t="s">
        <v>1225</v>
      </c>
      <c r="C567" s="12" t="s">
        <v>282</v>
      </c>
      <c r="D567" s="12" t="s">
        <v>283</v>
      </c>
      <c r="E567" s="12" t="s">
        <v>1410</v>
      </c>
      <c r="F567" s="12" t="s">
        <v>1411</v>
      </c>
      <c r="G567" s="12" t="s">
        <v>293</v>
      </c>
      <c r="H567" s="12" t="s">
        <v>287</v>
      </c>
      <c r="I567" s="12" t="s">
        <v>288</v>
      </c>
    </row>
    <row r="568" customFormat="false" ht="23.85" hidden="false" customHeight="false" outlineLevel="0" collapsed="false">
      <c r="A568" s="12" t="s">
        <v>109</v>
      </c>
      <c r="B568" s="12" t="s">
        <v>1225</v>
      </c>
      <c r="C568" s="12" t="s">
        <v>282</v>
      </c>
      <c r="D568" s="12" t="s">
        <v>283</v>
      </c>
      <c r="E568" s="12" t="s">
        <v>1412</v>
      </c>
      <c r="F568" s="12" t="s">
        <v>1413</v>
      </c>
      <c r="G568" s="12" t="s">
        <v>293</v>
      </c>
      <c r="H568" s="12" t="s">
        <v>287</v>
      </c>
      <c r="I568" s="12" t="s">
        <v>288</v>
      </c>
    </row>
    <row r="569" customFormat="false" ht="23.85" hidden="false" customHeight="false" outlineLevel="0" collapsed="false">
      <c r="A569" s="12" t="s">
        <v>109</v>
      </c>
      <c r="B569" s="12" t="s">
        <v>1225</v>
      </c>
      <c r="C569" s="12" t="s">
        <v>282</v>
      </c>
      <c r="D569" s="12" t="s">
        <v>283</v>
      </c>
      <c r="E569" s="12" t="s">
        <v>1414</v>
      </c>
      <c r="F569" s="12" t="s">
        <v>1415</v>
      </c>
      <c r="G569" s="12" t="s">
        <v>286</v>
      </c>
      <c r="H569" s="12" t="s">
        <v>287</v>
      </c>
      <c r="I569" s="12" t="s">
        <v>288</v>
      </c>
    </row>
    <row r="570" customFormat="false" ht="23.85" hidden="false" customHeight="false" outlineLevel="0" collapsed="false">
      <c r="A570" s="12" t="s">
        <v>109</v>
      </c>
      <c r="B570" s="12" t="s">
        <v>1225</v>
      </c>
      <c r="C570" s="12" t="s">
        <v>282</v>
      </c>
      <c r="D570" s="12" t="s">
        <v>283</v>
      </c>
      <c r="E570" s="12" t="s">
        <v>1416</v>
      </c>
      <c r="F570" s="12" t="s">
        <v>1417</v>
      </c>
      <c r="G570" s="12" t="s">
        <v>286</v>
      </c>
      <c r="H570" s="12" t="s">
        <v>287</v>
      </c>
      <c r="I570" s="12" t="s">
        <v>288</v>
      </c>
    </row>
    <row r="571" customFormat="false" ht="23.85" hidden="false" customHeight="false" outlineLevel="0" collapsed="false">
      <c r="A571" s="12" t="s">
        <v>109</v>
      </c>
      <c r="B571" s="12" t="s">
        <v>1225</v>
      </c>
      <c r="C571" s="12" t="s">
        <v>282</v>
      </c>
      <c r="D571" s="12" t="s">
        <v>283</v>
      </c>
      <c r="E571" s="12" t="s">
        <v>1418</v>
      </c>
      <c r="F571" s="12" t="s">
        <v>1419</v>
      </c>
      <c r="G571" s="12" t="s">
        <v>293</v>
      </c>
      <c r="H571" s="12" t="s">
        <v>287</v>
      </c>
      <c r="I571" s="12" t="s">
        <v>288</v>
      </c>
    </row>
    <row r="572" customFormat="false" ht="23.85" hidden="false" customHeight="false" outlineLevel="0" collapsed="false">
      <c r="A572" s="12" t="s">
        <v>109</v>
      </c>
      <c r="B572" s="12" t="s">
        <v>1225</v>
      </c>
      <c r="C572" s="12" t="s">
        <v>282</v>
      </c>
      <c r="D572" s="12" t="s">
        <v>283</v>
      </c>
      <c r="E572" s="12" t="s">
        <v>1420</v>
      </c>
      <c r="F572" s="12" t="s">
        <v>1421</v>
      </c>
      <c r="G572" s="12" t="s">
        <v>293</v>
      </c>
      <c r="H572" s="12" t="s">
        <v>287</v>
      </c>
      <c r="I572" s="12" t="s">
        <v>288</v>
      </c>
    </row>
    <row r="573" customFormat="false" ht="23.85" hidden="false" customHeight="false" outlineLevel="0" collapsed="false">
      <c r="A573" s="12" t="s">
        <v>109</v>
      </c>
      <c r="B573" s="12" t="s">
        <v>1225</v>
      </c>
      <c r="C573" s="12" t="s">
        <v>282</v>
      </c>
      <c r="D573" s="12" t="s">
        <v>283</v>
      </c>
      <c r="E573" s="12" t="s">
        <v>1422</v>
      </c>
      <c r="F573" s="12" t="s">
        <v>1423</v>
      </c>
      <c r="G573" s="12" t="s">
        <v>286</v>
      </c>
      <c r="H573" s="12" t="s">
        <v>287</v>
      </c>
      <c r="I573" s="12" t="s">
        <v>288</v>
      </c>
    </row>
    <row r="574" customFormat="false" ht="23.85" hidden="false" customHeight="false" outlineLevel="0" collapsed="false">
      <c r="A574" s="12" t="s">
        <v>109</v>
      </c>
      <c r="B574" s="12" t="s">
        <v>1225</v>
      </c>
      <c r="C574" s="12" t="s">
        <v>282</v>
      </c>
      <c r="D574" s="12" t="s">
        <v>283</v>
      </c>
      <c r="E574" s="12" t="s">
        <v>1424</v>
      </c>
      <c r="F574" s="12" t="s">
        <v>1425</v>
      </c>
      <c r="G574" s="12" t="s">
        <v>293</v>
      </c>
      <c r="H574" s="12" t="s">
        <v>287</v>
      </c>
      <c r="I574" s="12" t="s">
        <v>288</v>
      </c>
    </row>
    <row r="575" customFormat="false" ht="23.85" hidden="false" customHeight="false" outlineLevel="0" collapsed="false">
      <c r="A575" s="12" t="s">
        <v>109</v>
      </c>
      <c r="B575" s="12" t="s">
        <v>1225</v>
      </c>
      <c r="C575" s="12" t="s">
        <v>282</v>
      </c>
      <c r="D575" s="12" t="s">
        <v>283</v>
      </c>
      <c r="E575" s="12" t="s">
        <v>1426</v>
      </c>
      <c r="F575" s="12" t="s">
        <v>1427</v>
      </c>
      <c r="G575" s="12" t="s">
        <v>293</v>
      </c>
      <c r="H575" s="12" t="s">
        <v>287</v>
      </c>
      <c r="I575" s="12" t="s">
        <v>288</v>
      </c>
    </row>
    <row r="576" customFormat="false" ht="23.85" hidden="false" customHeight="false" outlineLevel="0" collapsed="false">
      <c r="A576" s="12" t="s">
        <v>109</v>
      </c>
      <c r="B576" s="12" t="s">
        <v>1225</v>
      </c>
      <c r="C576" s="12" t="s">
        <v>282</v>
      </c>
      <c r="D576" s="12" t="s">
        <v>283</v>
      </c>
      <c r="E576" s="12" t="s">
        <v>1428</v>
      </c>
      <c r="F576" s="12" t="s">
        <v>1429</v>
      </c>
      <c r="G576" s="12" t="s">
        <v>293</v>
      </c>
      <c r="H576" s="12" t="s">
        <v>287</v>
      </c>
      <c r="I576" s="12" t="s">
        <v>288</v>
      </c>
    </row>
    <row r="577" customFormat="false" ht="23.85" hidden="false" customHeight="false" outlineLevel="0" collapsed="false">
      <c r="A577" s="12" t="s">
        <v>109</v>
      </c>
      <c r="B577" s="12" t="s">
        <v>1225</v>
      </c>
      <c r="C577" s="12" t="s">
        <v>282</v>
      </c>
      <c r="D577" s="12" t="s">
        <v>283</v>
      </c>
      <c r="E577" s="12" t="s">
        <v>1430</v>
      </c>
      <c r="F577" s="12" t="s">
        <v>1431</v>
      </c>
      <c r="G577" s="12" t="s">
        <v>293</v>
      </c>
      <c r="H577" s="12" t="s">
        <v>287</v>
      </c>
      <c r="I577" s="12" t="s">
        <v>288</v>
      </c>
    </row>
    <row r="578" customFormat="false" ht="23.85" hidden="false" customHeight="false" outlineLevel="0" collapsed="false">
      <c r="A578" s="12" t="s">
        <v>109</v>
      </c>
      <c r="B578" s="12" t="s">
        <v>1225</v>
      </c>
      <c r="C578" s="12" t="s">
        <v>282</v>
      </c>
      <c r="D578" s="12" t="s">
        <v>283</v>
      </c>
      <c r="E578" s="12" t="s">
        <v>1432</v>
      </c>
      <c r="F578" s="12" t="s">
        <v>1433</v>
      </c>
      <c r="G578" s="12" t="s">
        <v>286</v>
      </c>
      <c r="H578" s="12" t="s">
        <v>287</v>
      </c>
      <c r="I578" s="12" t="s">
        <v>288</v>
      </c>
    </row>
    <row r="579" customFormat="false" ht="23.85" hidden="false" customHeight="false" outlineLevel="0" collapsed="false">
      <c r="A579" s="12" t="s">
        <v>109</v>
      </c>
      <c r="B579" s="12" t="s">
        <v>1225</v>
      </c>
      <c r="C579" s="12" t="s">
        <v>282</v>
      </c>
      <c r="D579" s="12" t="s">
        <v>283</v>
      </c>
      <c r="E579" s="12" t="s">
        <v>1434</v>
      </c>
      <c r="F579" s="12" t="s">
        <v>1435</v>
      </c>
      <c r="G579" s="12" t="s">
        <v>293</v>
      </c>
      <c r="H579" s="12" t="s">
        <v>287</v>
      </c>
      <c r="I579" s="12" t="s">
        <v>288</v>
      </c>
    </row>
    <row r="580" customFormat="false" ht="23.85" hidden="false" customHeight="false" outlineLevel="0" collapsed="false">
      <c r="A580" s="12" t="s">
        <v>109</v>
      </c>
      <c r="B580" s="12" t="s">
        <v>1225</v>
      </c>
      <c r="C580" s="12" t="s">
        <v>282</v>
      </c>
      <c r="D580" s="12" t="s">
        <v>283</v>
      </c>
      <c r="E580" s="12" t="s">
        <v>1436</v>
      </c>
      <c r="F580" s="12" t="s">
        <v>1437</v>
      </c>
      <c r="G580" s="12" t="s">
        <v>293</v>
      </c>
      <c r="H580" s="12" t="s">
        <v>287</v>
      </c>
      <c r="I580" s="12" t="s">
        <v>288</v>
      </c>
    </row>
    <row r="581" customFormat="false" ht="23.85" hidden="false" customHeight="false" outlineLevel="0" collapsed="false">
      <c r="A581" s="12" t="s">
        <v>109</v>
      </c>
      <c r="B581" s="12" t="s">
        <v>1225</v>
      </c>
      <c r="C581" s="12" t="s">
        <v>282</v>
      </c>
      <c r="D581" s="12" t="s">
        <v>283</v>
      </c>
      <c r="E581" s="12" t="s">
        <v>1438</v>
      </c>
      <c r="F581" s="12" t="s">
        <v>1439</v>
      </c>
      <c r="G581" s="12" t="s">
        <v>286</v>
      </c>
      <c r="H581" s="12" t="s">
        <v>287</v>
      </c>
      <c r="I581" s="12" t="s">
        <v>288</v>
      </c>
    </row>
    <row r="582" customFormat="false" ht="23.85" hidden="false" customHeight="false" outlineLevel="0" collapsed="false">
      <c r="A582" s="12" t="s">
        <v>109</v>
      </c>
      <c r="B582" s="12" t="s">
        <v>1225</v>
      </c>
      <c r="C582" s="12" t="s">
        <v>282</v>
      </c>
      <c r="D582" s="12" t="s">
        <v>283</v>
      </c>
      <c r="E582" s="12" t="s">
        <v>1440</v>
      </c>
      <c r="F582" s="12" t="s">
        <v>1441</v>
      </c>
      <c r="G582" s="12" t="s">
        <v>293</v>
      </c>
      <c r="H582" s="12" t="s">
        <v>287</v>
      </c>
      <c r="I582" s="12" t="s">
        <v>288</v>
      </c>
    </row>
    <row r="583" customFormat="false" ht="23.85" hidden="false" customHeight="false" outlineLevel="0" collapsed="false">
      <c r="A583" s="12" t="s">
        <v>109</v>
      </c>
      <c r="B583" s="12" t="s">
        <v>1225</v>
      </c>
      <c r="C583" s="12" t="s">
        <v>282</v>
      </c>
      <c r="D583" s="12" t="s">
        <v>283</v>
      </c>
      <c r="E583" s="12" t="s">
        <v>1442</v>
      </c>
      <c r="F583" s="12" t="s">
        <v>1443</v>
      </c>
      <c r="G583" s="12" t="s">
        <v>293</v>
      </c>
      <c r="H583" s="12" t="s">
        <v>287</v>
      </c>
      <c r="I583" s="12" t="s">
        <v>288</v>
      </c>
    </row>
    <row r="584" customFormat="false" ht="23.85" hidden="false" customHeight="false" outlineLevel="0" collapsed="false">
      <c r="A584" s="12" t="s">
        <v>109</v>
      </c>
      <c r="B584" s="12" t="s">
        <v>1225</v>
      </c>
      <c r="C584" s="12" t="s">
        <v>282</v>
      </c>
      <c r="D584" s="12" t="s">
        <v>283</v>
      </c>
      <c r="E584" s="12" t="s">
        <v>1444</v>
      </c>
      <c r="F584" s="12" t="s">
        <v>1445</v>
      </c>
      <c r="G584" s="12" t="s">
        <v>293</v>
      </c>
      <c r="H584" s="12" t="s">
        <v>287</v>
      </c>
      <c r="I584" s="12" t="s">
        <v>288</v>
      </c>
    </row>
    <row r="585" customFormat="false" ht="23.85" hidden="false" customHeight="false" outlineLevel="0" collapsed="false">
      <c r="A585" s="12" t="s">
        <v>109</v>
      </c>
      <c r="B585" s="12" t="s">
        <v>1225</v>
      </c>
      <c r="C585" s="12" t="s">
        <v>282</v>
      </c>
      <c r="D585" s="12" t="s">
        <v>283</v>
      </c>
      <c r="E585" s="12" t="s">
        <v>1446</v>
      </c>
      <c r="F585" s="12" t="s">
        <v>1447</v>
      </c>
      <c r="G585" s="12" t="s">
        <v>293</v>
      </c>
      <c r="H585" s="12" t="s">
        <v>287</v>
      </c>
      <c r="I585" s="12" t="s">
        <v>288</v>
      </c>
    </row>
    <row r="586" customFormat="false" ht="23.85" hidden="false" customHeight="false" outlineLevel="0" collapsed="false">
      <c r="A586" s="12" t="s">
        <v>109</v>
      </c>
      <c r="B586" s="12" t="s">
        <v>1225</v>
      </c>
      <c r="C586" s="12" t="s">
        <v>282</v>
      </c>
      <c r="D586" s="12" t="s">
        <v>283</v>
      </c>
      <c r="E586" s="12" t="s">
        <v>1448</v>
      </c>
      <c r="F586" s="12" t="s">
        <v>1449</v>
      </c>
      <c r="G586" s="12" t="s">
        <v>293</v>
      </c>
      <c r="H586" s="12" t="s">
        <v>287</v>
      </c>
      <c r="I586" s="12" t="s">
        <v>288</v>
      </c>
    </row>
    <row r="587" customFormat="false" ht="23.85" hidden="false" customHeight="false" outlineLevel="0" collapsed="false">
      <c r="A587" s="12" t="s">
        <v>109</v>
      </c>
      <c r="B587" s="12" t="s">
        <v>1225</v>
      </c>
      <c r="C587" s="12" t="s">
        <v>282</v>
      </c>
      <c r="D587" s="12" t="s">
        <v>283</v>
      </c>
      <c r="E587" s="12" t="s">
        <v>1450</v>
      </c>
      <c r="F587" s="12" t="s">
        <v>1451</v>
      </c>
      <c r="G587" s="12" t="s">
        <v>293</v>
      </c>
      <c r="H587" s="12" t="s">
        <v>287</v>
      </c>
      <c r="I587" s="12" t="s">
        <v>288</v>
      </c>
    </row>
    <row r="588" customFormat="false" ht="23.85" hidden="false" customHeight="false" outlineLevel="0" collapsed="false">
      <c r="A588" s="12" t="s">
        <v>109</v>
      </c>
      <c r="B588" s="12" t="s">
        <v>1225</v>
      </c>
      <c r="C588" s="12" t="s">
        <v>282</v>
      </c>
      <c r="D588" s="12" t="s">
        <v>283</v>
      </c>
      <c r="E588" s="12" t="s">
        <v>1452</v>
      </c>
      <c r="F588" s="12" t="s">
        <v>1453</v>
      </c>
      <c r="G588" s="12" t="s">
        <v>286</v>
      </c>
      <c r="H588" s="12" t="s">
        <v>287</v>
      </c>
      <c r="I588" s="12" t="s">
        <v>288</v>
      </c>
    </row>
    <row r="589" customFormat="false" ht="23.85" hidden="false" customHeight="false" outlineLevel="0" collapsed="false">
      <c r="A589" s="12" t="s">
        <v>109</v>
      </c>
      <c r="B589" s="12" t="s">
        <v>1225</v>
      </c>
      <c r="C589" s="12" t="s">
        <v>282</v>
      </c>
      <c r="D589" s="12" t="s">
        <v>283</v>
      </c>
      <c r="E589" s="12" t="s">
        <v>1454</v>
      </c>
      <c r="F589" s="12" t="s">
        <v>1455</v>
      </c>
      <c r="G589" s="12" t="s">
        <v>293</v>
      </c>
      <c r="H589" s="12" t="s">
        <v>287</v>
      </c>
      <c r="I589" s="12" t="s">
        <v>288</v>
      </c>
    </row>
    <row r="590" customFormat="false" ht="23.85" hidden="false" customHeight="false" outlineLevel="0" collapsed="false">
      <c r="A590" s="12" t="s">
        <v>109</v>
      </c>
      <c r="B590" s="12" t="s">
        <v>1225</v>
      </c>
      <c r="C590" s="12" t="s">
        <v>282</v>
      </c>
      <c r="D590" s="12" t="s">
        <v>283</v>
      </c>
      <c r="E590" s="12" t="s">
        <v>1456</v>
      </c>
      <c r="F590" s="12" t="s">
        <v>1457</v>
      </c>
      <c r="G590" s="12" t="s">
        <v>293</v>
      </c>
      <c r="H590" s="12" t="s">
        <v>287</v>
      </c>
      <c r="I590" s="12" t="s">
        <v>288</v>
      </c>
    </row>
    <row r="591" customFormat="false" ht="23.85" hidden="false" customHeight="false" outlineLevel="0" collapsed="false">
      <c r="A591" s="12" t="s">
        <v>109</v>
      </c>
      <c r="B591" s="12" t="s">
        <v>1225</v>
      </c>
      <c r="C591" s="12" t="s">
        <v>282</v>
      </c>
      <c r="D591" s="12" t="s">
        <v>283</v>
      </c>
      <c r="E591" s="12" t="s">
        <v>1458</v>
      </c>
      <c r="F591" s="12" t="s">
        <v>1459</v>
      </c>
      <c r="G591" s="12" t="s">
        <v>293</v>
      </c>
      <c r="H591" s="12" t="s">
        <v>287</v>
      </c>
      <c r="I591" s="12" t="s">
        <v>288</v>
      </c>
    </row>
    <row r="592" customFormat="false" ht="23.85" hidden="false" customHeight="false" outlineLevel="0" collapsed="false">
      <c r="A592" s="12" t="s">
        <v>109</v>
      </c>
      <c r="B592" s="12" t="s">
        <v>1225</v>
      </c>
      <c r="C592" s="12" t="s">
        <v>282</v>
      </c>
      <c r="D592" s="12" t="s">
        <v>338</v>
      </c>
      <c r="E592" s="12" t="s">
        <v>1460</v>
      </c>
      <c r="F592" s="12" t="s">
        <v>1461</v>
      </c>
      <c r="G592" s="12" t="s">
        <v>293</v>
      </c>
      <c r="H592" s="12" t="s">
        <v>287</v>
      </c>
      <c r="I592" s="12" t="s">
        <v>288</v>
      </c>
    </row>
    <row r="593" customFormat="false" ht="23.85" hidden="false" customHeight="false" outlineLevel="0" collapsed="false">
      <c r="A593" s="12" t="s">
        <v>109</v>
      </c>
      <c r="B593" s="12" t="s">
        <v>1225</v>
      </c>
      <c r="C593" s="12" t="s">
        <v>282</v>
      </c>
      <c r="D593" s="12" t="s">
        <v>338</v>
      </c>
      <c r="E593" s="12" t="s">
        <v>1462</v>
      </c>
      <c r="F593" s="12" t="s">
        <v>1463</v>
      </c>
      <c r="G593" s="12" t="s">
        <v>293</v>
      </c>
      <c r="H593" s="12" t="s">
        <v>287</v>
      </c>
      <c r="I593" s="12" t="s">
        <v>288</v>
      </c>
    </row>
    <row r="594" customFormat="false" ht="23.85" hidden="false" customHeight="false" outlineLevel="0" collapsed="false">
      <c r="A594" s="12" t="s">
        <v>109</v>
      </c>
      <c r="B594" s="12" t="s">
        <v>1225</v>
      </c>
      <c r="C594" s="12" t="s">
        <v>282</v>
      </c>
      <c r="D594" s="12" t="s">
        <v>338</v>
      </c>
      <c r="E594" s="12" t="s">
        <v>1464</v>
      </c>
      <c r="F594" s="12" t="s">
        <v>1465</v>
      </c>
      <c r="G594" s="12" t="s">
        <v>293</v>
      </c>
      <c r="H594" s="12" t="s">
        <v>287</v>
      </c>
      <c r="I594" s="12" t="s">
        <v>288</v>
      </c>
    </row>
    <row r="595" customFormat="false" ht="23.85" hidden="false" customHeight="false" outlineLevel="0" collapsed="false">
      <c r="A595" s="12" t="s">
        <v>109</v>
      </c>
      <c r="B595" s="12" t="s">
        <v>1225</v>
      </c>
      <c r="C595" s="12" t="s">
        <v>282</v>
      </c>
      <c r="D595" s="12" t="s">
        <v>338</v>
      </c>
      <c r="E595" s="12" t="s">
        <v>1466</v>
      </c>
      <c r="F595" s="12" t="s">
        <v>1467</v>
      </c>
      <c r="G595" s="12" t="s">
        <v>293</v>
      </c>
      <c r="H595" s="12" t="s">
        <v>287</v>
      </c>
      <c r="I595" s="12" t="s">
        <v>288</v>
      </c>
    </row>
    <row r="596" customFormat="false" ht="23.85" hidden="false" customHeight="false" outlineLevel="0" collapsed="false">
      <c r="A596" s="12" t="s">
        <v>109</v>
      </c>
      <c r="B596" s="12" t="s">
        <v>1225</v>
      </c>
      <c r="C596" s="12" t="s">
        <v>282</v>
      </c>
      <c r="D596" s="12" t="s">
        <v>338</v>
      </c>
      <c r="E596" s="12" t="s">
        <v>1468</v>
      </c>
      <c r="F596" s="12" t="s">
        <v>1469</v>
      </c>
      <c r="G596" s="12" t="s">
        <v>293</v>
      </c>
      <c r="H596" s="12" t="s">
        <v>287</v>
      </c>
      <c r="I596" s="12" t="s">
        <v>288</v>
      </c>
    </row>
    <row r="597" customFormat="false" ht="23.85" hidden="false" customHeight="false" outlineLevel="0" collapsed="false">
      <c r="A597" s="12" t="s">
        <v>109</v>
      </c>
      <c r="B597" s="12" t="s">
        <v>1225</v>
      </c>
      <c r="C597" s="12" t="s">
        <v>282</v>
      </c>
      <c r="D597" s="12" t="s">
        <v>338</v>
      </c>
      <c r="E597" s="12" t="s">
        <v>1470</v>
      </c>
      <c r="F597" s="12" t="s">
        <v>1471</v>
      </c>
      <c r="G597" s="12" t="s">
        <v>293</v>
      </c>
      <c r="H597" s="12" t="s">
        <v>287</v>
      </c>
      <c r="I597" s="12" t="s">
        <v>288</v>
      </c>
    </row>
    <row r="598" customFormat="false" ht="23.85" hidden="false" customHeight="false" outlineLevel="0" collapsed="false">
      <c r="A598" s="12" t="s">
        <v>109</v>
      </c>
      <c r="B598" s="12" t="s">
        <v>1225</v>
      </c>
      <c r="C598" s="12" t="s">
        <v>282</v>
      </c>
      <c r="D598" s="12" t="s">
        <v>338</v>
      </c>
      <c r="E598" s="12" t="s">
        <v>1472</v>
      </c>
      <c r="F598" s="12" t="s">
        <v>1473</v>
      </c>
      <c r="G598" s="12" t="s">
        <v>293</v>
      </c>
      <c r="H598" s="12" t="s">
        <v>287</v>
      </c>
      <c r="I598" s="12" t="s">
        <v>288</v>
      </c>
    </row>
    <row r="599" customFormat="false" ht="23.85" hidden="false" customHeight="false" outlineLevel="0" collapsed="false">
      <c r="A599" s="12" t="s">
        <v>109</v>
      </c>
      <c r="B599" s="12" t="s">
        <v>1225</v>
      </c>
      <c r="C599" s="12" t="s">
        <v>282</v>
      </c>
      <c r="D599" s="12" t="s">
        <v>338</v>
      </c>
      <c r="E599" s="12" t="s">
        <v>1474</v>
      </c>
      <c r="F599" s="12" t="s">
        <v>1475</v>
      </c>
      <c r="G599" s="12" t="s">
        <v>293</v>
      </c>
      <c r="H599" s="12" t="s">
        <v>287</v>
      </c>
      <c r="I599" s="12" t="s">
        <v>288</v>
      </c>
    </row>
    <row r="600" customFormat="false" ht="23.85" hidden="false" customHeight="false" outlineLevel="0" collapsed="false">
      <c r="A600" s="12" t="s">
        <v>109</v>
      </c>
      <c r="B600" s="12" t="s">
        <v>1225</v>
      </c>
      <c r="C600" s="12" t="s">
        <v>282</v>
      </c>
      <c r="D600" s="12" t="s">
        <v>338</v>
      </c>
      <c r="E600" s="12" t="s">
        <v>1476</v>
      </c>
      <c r="F600" s="12" t="s">
        <v>1477</v>
      </c>
      <c r="G600" s="12" t="s">
        <v>293</v>
      </c>
      <c r="H600" s="12" t="s">
        <v>287</v>
      </c>
      <c r="I600" s="12" t="s">
        <v>288</v>
      </c>
    </row>
    <row r="601" customFormat="false" ht="23.85" hidden="false" customHeight="false" outlineLevel="0" collapsed="false">
      <c r="A601" s="12" t="s">
        <v>109</v>
      </c>
      <c r="B601" s="12" t="s">
        <v>1225</v>
      </c>
      <c r="C601" s="12" t="s">
        <v>282</v>
      </c>
      <c r="D601" s="12" t="s">
        <v>338</v>
      </c>
      <c r="E601" s="12" t="s">
        <v>1478</v>
      </c>
      <c r="F601" s="12" t="s">
        <v>1479</v>
      </c>
      <c r="G601" s="12" t="s">
        <v>293</v>
      </c>
      <c r="H601" s="12" t="s">
        <v>287</v>
      </c>
      <c r="I601" s="12" t="s">
        <v>288</v>
      </c>
    </row>
    <row r="602" customFormat="false" ht="23.85" hidden="false" customHeight="false" outlineLevel="0" collapsed="false">
      <c r="A602" s="12" t="s">
        <v>109</v>
      </c>
      <c r="B602" s="12" t="s">
        <v>1225</v>
      </c>
      <c r="C602" s="12" t="s">
        <v>282</v>
      </c>
      <c r="D602" s="12" t="s">
        <v>338</v>
      </c>
      <c r="E602" s="12" t="s">
        <v>1480</v>
      </c>
      <c r="F602" s="12" t="s">
        <v>1481</v>
      </c>
      <c r="G602" s="12" t="s">
        <v>293</v>
      </c>
      <c r="H602" s="12" t="s">
        <v>287</v>
      </c>
      <c r="I602" s="12" t="s">
        <v>288</v>
      </c>
    </row>
    <row r="603" customFormat="false" ht="23.85" hidden="false" customHeight="false" outlineLevel="0" collapsed="false">
      <c r="A603" s="12" t="s">
        <v>109</v>
      </c>
      <c r="B603" s="12" t="s">
        <v>1225</v>
      </c>
      <c r="C603" s="12" t="s">
        <v>282</v>
      </c>
      <c r="D603" s="12" t="s">
        <v>338</v>
      </c>
      <c r="E603" s="12" t="s">
        <v>1482</v>
      </c>
      <c r="F603" s="12" t="s">
        <v>1483</v>
      </c>
      <c r="G603" s="12" t="s">
        <v>293</v>
      </c>
      <c r="H603" s="12" t="s">
        <v>287</v>
      </c>
      <c r="I603" s="12" t="s">
        <v>288</v>
      </c>
    </row>
    <row r="604" customFormat="false" ht="23.85" hidden="false" customHeight="false" outlineLevel="0" collapsed="false">
      <c r="A604" s="12" t="s">
        <v>109</v>
      </c>
      <c r="B604" s="12" t="s">
        <v>1225</v>
      </c>
      <c r="C604" s="12" t="s">
        <v>282</v>
      </c>
      <c r="D604" s="12" t="s">
        <v>338</v>
      </c>
      <c r="E604" s="12" t="s">
        <v>1484</v>
      </c>
      <c r="F604" s="12" t="s">
        <v>1485</v>
      </c>
      <c r="G604" s="12" t="s">
        <v>293</v>
      </c>
      <c r="H604" s="12" t="s">
        <v>287</v>
      </c>
      <c r="I604" s="12" t="s">
        <v>288</v>
      </c>
    </row>
    <row r="605" customFormat="false" ht="23.85" hidden="false" customHeight="false" outlineLevel="0" collapsed="false">
      <c r="A605" s="12" t="s">
        <v>109</v>
      </c>
      <c r="B605" s="12" t="s">
        <v>1225</v>
      </c>
      <c r="C605" s="12" t="s">
        <v>282</v>
      </c>
      <c r="D605" s="12" t="s">
        <v>338</v>
      </c>
      <c r="E605" s="12" t="s">
        <v>1486</v>
      </c>
      <c r="F605" s="12" t="s">
        <v>1487</v>
      </c>
      <c r="G605" s="12" t="s">
        <v>293</v>
      </c>
      <c r="H605" s="12" t="s">
        <v>287</v>
      </c>
      <c r="I605" s="12" t="s">
        <v>288</v>
      </c>
    </row>
    <row r="606" customFormat="false" ht="23.85" hidden="false" customHeight="false" outlineLevel="0" collapsed="false">
      <c r="A606" s="12" t="s">
        <v>109</v>
      </c>
      <c r="B606" s="12" t="s">
        <v>1225</v>
      </c>
      <c r="C606" s="12" t="s">
        <v>282</v>
      </c>
      <c r="D606" s="12" t="s">
        <v>338</v>
      </c>
      <c r="E606" s="12" t="s">
        <v>1488</v>
      </c>
      <c r="F606" s="12" t="s">
        <v>1489</v>
      </c>
      <c r="G606" s="12" t="s">
        <v>293</v>
      </c>
      <c r="H606" s="12" t="s">
        <v>287</v>
      </c>
      <c r="I606" s="12" t="s">
        <v>288</v>
      </c>
    </row>
    <row r="607" customFormat="false" ht="23.85" hidden="false" customHeight="false" outlineLevel="0" collapsed="false">
      <c r="A607" s="12" t="s">
        <v>109</v>
      </c>
      <c r="B607" s="12" t="s">
        <v>1225</v>
      </c>
      <c r="C607" s="12" t="s">
        <v>282</v>
      </c>
      <c r="D607" s="12" t="s">
        <v>338</v>
      </c>
      <c r="E607" s="12" t="s">
        <v>1490</v>
      </c>
      <c r="F607" s="12" t="s">
        <v>1491</v>
      </c>
      <c r="G607" s="12" t="s">
        <v>293</v>
      </c>
      <c r="H607" s="12" t="s">
        <v>287</v>
      </c>
      <c r="I607" s="12" t="s">
        <v>288</v>
      </c>
    </row>
    <row r="608" customFormat="false" ht="23.85" hidden="false" customHeight="false" outlineLevel="0" collapsed="false">
      <c r="A608" s="12" t="s">
        <v>109</v>
      </c>
      <c r="B608" s="12" t="s">
        <v>1225</v>
      </c>
      <c r="C608" s="12" t="s">
        <v>282</v>
      </c>
      <c r="D608" s="12" t="s">
        <v>338</v>
      </c>
      <c r="E608" s="12" t="s">
        <v>1492</v>
      </c>
      <c r="F608" s="12" t="s">
        <v>1493</v>
      </c>
      <c r="G608" s="12" t="s">
        <v>293</v>
      </c>
      <c r="H608" s="12" t="s">
        <v>287</v>
      </c>
      <c r="I608" s="12" t="s">
        <v>288</v>
      </c>
    </row>
    <row r="609" customFormat="false" ht="23.85" hidden="false" customHeight="false" outlineLevel="0" collapsed="false">
      <c r="A609" s="12" t="s">
        <v>109</v>
      </c>
      <c r="B609" s="12" t="s">
        <v>1225</v>
      </c>
      <c r="C609" s="12" t="s">
        <v>282</v>
      </c>
      <c r="D609" s="12" t="s">
        <v>338</v>
      </c>
      <c r="E609" s="12" t="s">
        <v>1494</v>
      </c>
      <c r="F609" s="12" t="s">
        <v>1495</v>
      </c>
      <c r="G609" s="12" t="s">
        <v>293</v>
      </c>
      <c r="H609" s="12" t="s">
        <v>287</v>
      </c>
      <c r="I609" s="12" t="s">
        <v>288</v>
      </c>
    </row>
    <row r="610" customFormat="false" ht="23.85" hidden="false" customHeight="false" outlineLevel="0" collapsed="false">
      <c r="A610" s="12" t="s">
        <v>109</v>
      </c>
      <c r="B610" s="12" t="s">
        <v>1225</v>
      </c>
      <c r="C610" s="12" t="s">
        <v>282</v>
      </c>
      <c r="D610" s="12" t="s">
        <v>338</v>
      </c>
      <c r="E610" s="12" t="s">
        <v>1496</v>
      </c>
      <c r="F610" s="12" t="s">
        <v>1497</v>
      </c>
      <c r="G610" s="12" t="s">
        <v>293</v>
      </c>
      <c r="H610" s="12" t="s">
        <v>287</v>
      </c>
      <c r="I610" s="12" t="s">
        <v>288</v>
      </c>
    </row>
    <row r="611" customFormat="false" ht="23.85" hidden="false" customHeight="false" outlineLevel="0" collapsed="false">
      <c r="A611" s="12" t="s">
        <v>109</v>
      </c>
      <c r="B611" s="12" t="s">
        <v>1225</v>
      </c>
      <c r="C611" s="12" t="s">
        <v>282</v>
      </c>
      <c r="D611" s="12" t="s">
        <v>338</v>
      </c>
      <c r="E611" s="12" t="s">
        <v>1498</v>
      </c>
      <c r="F611" s="12" t="s">
        <v>1499</v>
      </c>
      <c r="G611" s="12" t="s">
        <v>293</v>
      </c>
      <c r="H611" s="12" t="s">
        <v>287</v>
      </c>
      <c r="I611" s="12" t="s">
        <v>288</v>
      </c>
    </row>
    <row r="612" customFormat="false" ht="23.85" hidden="false" customHeight="false" outlineLevel="0" collapsed="false">
      <c r="A612" s="12" t="s">
        <v>109</v>
      </c>
      <c r="B612" s="12" t="s">
        <v>1500</v>
      </c>
      <c r="C612" s="12" t="s">
        <v>282</v>
      </c>
      <c r="D612" s="12" t="s">
        <v>283</v>
      </c>
      <c r="E612" s="12" t="s">
        <v>1501</v>
      </c>
      <c r="F612" s="12" t="s">
        <v>1502</v>
      </c>
      <c r="G612" s="12" t="s">
        <v>286</v>
      </c>
      <c r="H612" s="12" t="s">
        <v>287</v>
      </c>
      <c r="I612" s="12" t="s">
        <v>288</v>
      </c>
    </row>
    <row r="613" customFormat="false" ht="23.85" hidden="false" customHeight="false" outlineLevel="0" collapsed="false">
      <c r="A613" s="12" t="s">
        <v>109</v>
      </c>
      <c r="B613" s="12" t="s">
        <v>1500</v>
      </c>
      <c r="C613" s="12" t="s">
        <v>282</v>
      </c>
      <c r="D613" s="12" t="s">
        <v>283</v>
      </c>
      <c r="E613" s="12" t="s">
        <v>1503</v>
      </c>
      <c r="F613" s="12" t="s">
        <v>1504</v>
      </c>
      <c r="G613" s="12" t="s">
        <v>286</v>
      </c>
      <c r="H613" s="12" t="s">
        <v>287</v>
      </c>
      <c r="I613" s="12" t="s">
        <v>288</v>
      </c>
    </row>
    <row r="614" customFormat="false" ht="23.85" hidden="false" customHeight="false" outlineLevel="0" collapsed="false">
      <c r="A614" s="12" t="s">
        <v>109</v>
      </c>
      <c r="B614" s="12" t="s">
        <v>1500</v>
      </c>
      <c r="C614" s="12" t="s">
        <v>282</v>
      </c>
      <c r="D614" s="12" t="s">
        <v>283</v>
      </c>
      <c r="E614" s="12" t="s">
        <v>1505</v>
      </c>
      <c r="F614" s="12" t="s">
        <v>1506</v>
      </c>
      <c r="G614" s="12" t="s">
        <v>293</v>
      </c>
      <c r="H614" s="12" t="s">
        <v>287</v>
      </c>
      <c r="I614" s="12" t="s">
        <v>288</v>
      </c>
    </row>
    <row r="615" customFormat="false" ht="23.85" hidden="false" customHeight="false" outlineLevel="0" collapsed="false">
      <c r="A615" s="12" t="s">
        <v>109</v>
      </c>
      <c r="B615" s="12" t="s">
        <v>1500</v>
      </c>
      <c r="C615" s="12" t="s">
        <v>282</v>
      </c>
      <c r="D615" s="12" t="s">
        <v>283</v>
      </c>
      <c r="E615" s="12" t="s">
        <v>1507</v>
      </c>
      <c r="F615" s="12" t="s">
        <v>1508</v>
      </c>
      <c r="G615" s="12" t="s">
        <v>293</v>
      </c>
      <c r="H615" s="12" t="s">
        <v>287</v>
      </c>
      <c r="I615" s="12" t="s">
        <v>288</v>
      </c>
    </row>
    <row r="616" customFormat="false" ht="23.85" hidden="false" customHeight="false" outlineLevel="0" collapsed="false">
      <c r="A616" s="12" t="s">
        <v>109</v>
      </c>
      <c r="B616" s="12" t="s">
        <v>1500</v>
      </c>
      <c r="C616" s="12" t="s">
        <v>282</v>
      </c>
      <c r="D616" s="12" t="s">
        <v>283</v>
      </c>
      <c r="E616" s="12" t="s">
        <v>1509</v>
      </c>
      <c r="F616" s="12" t="s">
        <v>1510</v>
      </c>
      <c r="G616" s="12" t="s">
        <v>286</v>
      </c>
      <c r="H616" s="12" t="s">
        <v>287</v>
      </c>
      <c r="I616" s="12" t="s">
        <v>288</v>
      </c>
    </row>
    <row r="617" customFormat="false" ht="23.85" hidden="false" customHeight="false" outlineLevel="0" collapsed="false">
      <c r="A617" s="12" t="s">
        <v>109</v>
      </c>
      <c r="B617" s="12" t="s">
        <v>1500</v>
      </c>
      <c r="C617" s="12" t="s">
        <v>282</v>
      </c>
      <c r="D617" s="12" t="s">
        <v>283</v>
      </c>
      <c r="E617" s="12" t="s">
        <v>1511</v>
      </c>
      <c r="F617" s="12" t="s">
        <v>1512</v>
      </c>
      <c r="G617" s="12" t="s">
        <v>293</v>
      </c>
      <c r="H617" s="12" t="s">
        <v>287</v>
      </c>
      <c r="I617" s="12" t="s">
        <v>288</v>
      </c>
    </row>
    <row r="618" customFormat="false" ht="23.85" hidden="false" customHeight="false" outlineLevel="0" collapsed="false">
      <c r="A618" s="12" t="s">
        <v>109</v>
      </c>
      <c r="B618" s="12" t="s">
        <v>1500</v>
      </c>
      <c r="C618" s="12" t="s">
        <v>282</v>
      </c>
      <c r="D618" s="12" t="s">
        <v>283</v>
      </c>
      <c r="E618" s="12" t="s">
        <v>1513</v>
      </c>
      <c r="F618" s="12" t="s">
        <v>1514</v>
      </c>
      <c r="G618" s="12" t="s">
        <v>293</v>
      </c>
      <c r="H618" s="12" t="s">
        <v>287</v>
      </c>
      <c r="I618" s="12" t="s">
        <v>288</v>
      </c>
    </row>
    <row r="619" customFormat="false" ht="23.85" hidden="false" customHeight="false" outlineLevel="0" collapsed="false">
      <c r="A619" s="12" t="s">
        <v>109</v>
      </c>
      <c r="B619" s="12" t="s">
        <v>1500</v>
      </c>
      <c r="C619" s="12" t="s">
        <v>282</v>
      </c>
      <c r="D619" s="12" t="s">
        <v>283</v>
      </c>
      <c r="E619" s="12" t="s">
        <v>1515</v>
      </c>
      <c r="F619" s="12" t="s">
        <v>1516</v>
      </c>
      <c r="G619" s="12" t="s">
        <v>286</v>
      </c>
      <c r="H619" s="12" t="s">
        <v>287</v>
      </c>
      <c r="I619" s="12" t="s">
        <v>288</v>
      </c>
    </row>
    <row r="620" customFormat="false" ht="23.85" hidden="false" customHeight="false" outlineLevel="0" collapsed="false">
      <c r="A620" s="12" t="s">
        <v>109</v>
      </c>
      <c r="B620" s="12" t="s">
        <v>1500</v>
      </c>
      <c r="C620" s="12" t="s">
        <v>282</v>
      </c>
      <c r="D620" s="12" t="s">
        <v>283</v>
      </c>
      <c r="E620" s="12" t="s">
        <v>1517</v>
      </c>
      <c r="F620" s="12" t="s">
        <v>1518</v>
      </c>
      <c r="G620" s="12" t="s">
        <v>293</v>
      </c>
      <c r="H620" s="12" t="s">
        <v>287</v>
      </c>
      <c r="I620" s="12" t="s">
        <v>288</v>
      </c>
    </row>
    <row r="621" customFormat="false" ht="23.85" hidden="false" customHeight="false" outlineLevel="0" collapsed="false">
      <c r="A621" s="12" t="s">
        <v>109</v>
      </c>
      <c r="B621" s="12" t="s">
        <v>1500</v>
      </c>
      <c r="C621" s="12" t="s">
        <v>282</v>
      </c>
      <c r="D621" s="12" t="s">
        <v>283</v>
      </c>
      <c r="E621" s="12" t="s">
        <v>1519</v>
      </c>
      <c r="F621" s="12" t="s">
        <v>1520</v>
      </c>
      <c r="G621" s="12" t="s">
        <v>293</v>
      </c>
      <c r="H621" s="12" t="s">
        <v>287</v>
      </c>
      <c r="I621" s="12" t="s">
        <v>288</v>
      </c>
    </row>
    <row r="622" customFormat="false" ht="23.85" hidden="false" customHeight="false" outlineLevel="0" collapsed="false">
      <c r="A622" s="12" t="s">
        <v>109</v>
      </c>
      <c r="B622" s="12" t="s">
        <v>1500</v>
      </c>
      <c r="C622" s="12" t="s">
        <v>282</v>
      </c>
      <c r="D622" s="12" t="s">
        <v>283</v>
      </c>
      <c r="E622" s="12" t="s">
        <v>1521</v>
      </c>
      <c r="F622" s="12" t="s">
        <v>1522</v>
      </c>
      <c r="G622" s="12" t="s">
        <v>293</v>
      </c>
      <c r="H622" s="12" t="s">
        <v>287</v>
      </c>
      <c r="I622" s="12" t="s">
        <v>288</v>
      </c>
    </row>
    <row r="623" customFormat="false" ht="23.85" hidden="false" customHeight="false" outlineLevel="0" collapsed="false">
      <c r="A623" s="12" t="s">
        <v>109</v>
      </c>
      <c r="B623" s="12" t="s">
        <v>1500</v>
      </c>
      <c r="C623" s="12" t="s">
        <v>282</v>
      </c>
      <c r="D623" s="12" t="s">
        <v>283</v>
      </c>
      <c r="E623" s="12" t="s">
        <v>1523</v>
      </c>
      <c r="F623" s="12" t="s">
        <v>1524</v>
      </c>
      <c r="G623" s="12" t="s">
        <v>286</v>
      </c>
      <c r="H623" s="12" t="s">
        <v>287</v>
      </c>
      <c r="I623" s="12" t="s">
        <v>288</v>
      </c>
    </row>
    <row r="624" customFormat="false" ht="23.85" hidden="false" customHeight="false" outlineLevel="0" collapsed="false">
      <c r="A624" s="12" t="s">
        <v>109</v>
      </c>
      <c r="B624" s="12" t="s">
        <v>1500</v>
      </c>
      <c r="C624" s="12" t="s">
        <v>282</v>
      </c>
      <c r="D624" s="12" t="s">
        <v>283</v>
      </c>
      <c r="E624" s="12" t="s">
        <v>1525</v>
      </c>
      <c r="F624" s="12" t="s">
        <v>1526</v>
      </c>
      <c r="G624" s="12" t="s">
        <v>286</v>
      </c>
      <c r="H624" s="12" t="s">
        <v>287</v>
      </c>
      <c r="I624" s="12" t="s">
        <v>288</v>
      </c>
    </row>
    <row r="625" customFormat="false" ht="23.85" hidden="false" customHeight="false" outlineLevel="0" collapsed="false">
      <c r="A625" s="12" t="s">
        <v>109</v>
      </c>
      <c r="B625" s="12" t="s">
        <v>1500</v>
      </c>
      <c r="C625" s="12" t="s">
        <v>282</v>
      </c>
      <c r="D625" s="12" t="s">
        <v>283</v>
      </c>
      <c r="E625" s="12" t="s">
        <v>1527</v>
      </c>
      <c r="F625" s="12" t="s">
        <v>1528</v>
      </c>
      <c r="G625" s="12" t="s">
        <v>293</v>
      </c>
      <c r="H625" s="12" t="s">
        <v>287</v>
      </c>
      <c r="I625" s="12" t="s">
        <v>288</v>
      </c>
    </row>
    <row r="626" customFormat="false" ht="23.85" hidden="false" customHeight="false" outlineLevel="0" collapsed="false">
      <c r="A626" s="12" t="s">
        <v>109</v>
      </c>
      <c r="B626" s="12" t="s">
        <v>1500</v>
      </c>
      <c r="C626" s="12" t="s">
        <v>282</v>
      </c>
      <c r="D626" s="12" t="s">
        <v>283</v>
      </c>
      <c r="E626" s="12" t="s">
        <v>1529</v>
      </c>
      <c r="F626" s="12" t="s">
        <v>1530</v>
      </c>
      <c r="G626" s="12" t="s">
        <v>293</v>
      </c>
      <c r="H626" s="12" t="s">
        <v>287</v>
      </c>
      <c r="I626" s="12" t="s">
        <v>288</v>
      </c>
    </row>
    <row r="627" customFormat="false" ht="23.85" hidden="false" customHeight="false" outlineLevel="0" collapsed="false">
      <c r="A627" s="12" t="s">
        <v>109</v>
      </c>
      <c r="B627" s="12" t="s">
        <v>1500</v>
      </c>
      <c r="C627" s="12" t="s">
        <v>282</v>
      </c>
      <c r="D627" s="12" t="s">
        <v>283</v>
      </c>
      <c r="E627" s="12" t="s">
        <v>1531</v>
      </c>
      <c r="F627" s="12" t="s">
        <v>1532</v>
      </c>
      <c r="G627" s="12" t="s">
        <v>286</v>
      </c>
      <c r="H627" s="12" t="s">
        <v>287</v>
      </c>
      <c r="I627" s="12" t="s">
        <v>288</v>
      </c>
    </row>
    <row r="628" customFormat="false" ht="23.85" hidden="false" customHeight="false" outlineLevel="0" collapsed="false">
      <c r="A628" s="12" t="s">
        <v>109</v>
      </c>
      <c r="B628" s="12" t="s">
        <v>1500</v>
      </c>
      <c r="C628" s="12" t="s">
        <v>282</v>
      </c>
      <c r="D628" s="12" t="s">
        <v>283</v>
      </c>
      <c r="E628" s="12" t="s">
        <v>1533</v>
      </c>
      <c r="F628" s="12" t="s">
        <v>1534</v>
      </c>
      <c r="G628" s="12" t="s">
        <v>286</v>
      </c>
      <c r="H628" s="12" t="s">
        <v>287</v>
      </c>
      <c r="I628" s="12" t="s">
        <v>288</v>
      </c>
    </row>
    <row r="629" customFormat="false" ht="23.85" hidden="false" customHeight="false" outlineLevel="0" collapsed="false">
      <c r="A629" s="12" t="s">
        <v>109</v>
      </c>
      <c r="B629" s="12" t="s">
        <v>1500</v>
      </c>
      <c r="C629" s="12" t="s">
        <v>282</v>
      </c>
      <c r="D629" s="12" t="s">
        <v>283</v>
      </c>
      <c r="E629" s="12" t="s">
        <v>1535</v>
      </c>
      <c r="F629" s="12" t="s">
        <v>1536</v>
      </c>
      <c r="G629" s="12" t="s">
        <v>293</v>
      </c>
      <c r="H629" s="12" t="s">
        <v>287</v>
      </c>
      <c r="I629" s="12" t="s">
        <v>288</v>
      </c>
    </row>
    <row r="630" customFormat="false" ht="23.85" hidden="false" customHeight="false" outlineLevel="0" collapsed="false">
      <c r="A630" s="12" t="s">
        <v>109</v>
      </c>
      <c r="B630" s="12" t="s">
        <v>1500</v>
      </c>
      <c r="C630" s="12" t="s">
        <v>282</v>
      </c>
      <c r="D630" s="12" t="s">
        <v>283</v>
      </c>
      <c r="E630" s="12" t="s">
        <v>1537</v>
      </c>
      <c r="F630" s="12" t="s">
        <v>1538</v>
      </c>
      <c r="G630" s="12" t="s">
        <v>293</v>
      </c>
      <c r="H630" s="12" t="s">
        <v>287</v>
      </c>
      <c r="I630" s="12" t="s">
        <v>288</v>
      </c>
    </row>
    <row r="631" customFormat="false" ht="23.85" hidden="false" customHeight="false" outlineLevel="0" collapsed="false">
      <c r="A631" s="12" t="s">
        <v>109</v>
      </c>
      <c r="B631" s="12" t="s">
        <v>1500</v>
      </c>
      <c r="C631" s="12" t="s">
        <v>282</v>
      </c>
      <c r="D631" s="12" t="s">
        <v>283</v>
      </c>
      <c r="E631" s="12" t="s">
        <v>1539</v>
      </c>
      <c r="F631" s="12" t="s">
        <v>1540</v>
      </c>
      <c r="G631" s="12" t="s">
        <v>293</v>
      </c>
      <c r="H631" s="12" t="s">
        <v>287</v>
      </c>
      <c r="I631" s="12" t="s">
        <v>288</v>
      </c>
    </row>
    <row r="632" customFormat="false" ht="23.85" hidden="false" customHeight="false" outlineLevel="0" collapsed="false">
      <c r="A632" s="12" t="s">
        <v>109</v>
      </c>
      <c r="B632" s="12" t="s">
        <v>1500</v>
      </c>
      <c r="C632" s="12" t="s">
        <v>282</v>
      </c>
      <c r="D632" s="12" t="s">
        <v>283</v>
      </c>
      <c r="E632" s="12" t="s">
        <v>1541</v>
      </c>
      <c r="F632" s="12" t="s">
        <v>1542</v>
      </c>
      <c r="G632" s="12" t="s">
        <v>293</v>
      </c>
      <c r="H632" s="12" t="s">
        <v>287</v>
      </c>
      <c r="I632" s="12" t="s">
        <v>288</v>
      </c>
    </row>
    <row r="633" customFormat="false" ht="23.85" hidden="false" customHeight="false" outlineLevel="0" collapsed="false">
      <c r="A633" s="12" t="s">
        <v>109</v>
      </c>
      <c r="B633" s="12" t="s">
        <v>1500</v>
      </c>
      <c r="C633" s="12" t="s">
        <v>282</v>
      </c>
      <c r="D633" s="12" t="s">
        <v>283</v>
      </c>
      <c r="E633" s="12" t="s">
        <v>1543</v>
      </c>
      <c r="F633" s="12" t="s">
        <v>1544</v>
      </c>
      <c r="G633" s="12" t="s">
        <v>286</v>
      </c>
      <c r="H633" s="12" t="s">
        <v>287</v>
      </c>
      <c r="I633" s="12" t="s">
        <v>288</v>
      </c>
    </row>
    <row r="634" customFormat="false" ht="23.85" hidden="false" customHeight="false" outlineLevel="0" collapsed="false">
      <c r="A634" s="12" t="s">
        <v>109</v>
      </c>
      <c r="B634" s="12" t="s">
        <v>1500</v>
      </c>
      <c r="C634" s="12" t="s">
        <v>282</v>
      </c>
      <c r="D634" s="12" t="s">
        <v>283</v>
      </c>
      <c r="E634" s="12" t="s">
        <v>1545</v>
      </c>
      <c r="F634" s="12" t="s">
        <v>1546</v>
      </c>
      <c r="G634" s="12" t="s">
        <v>293</v>
      </c>
      <c r="H634" s="12" t="s">
        <v>287</v>
      </c>
      <c r="I634" s="12" t="s">
        <v>288</v>
      </c>
    </row>
    <row r="635" customFormat="false" ht="23.85" hidden="false" customHeight="false" outlineLevel="0" collapsed="false">
      <c r="A635" s="12" t="s">
        <v>109</v>
      </c>
      <c r="B635" s="12" t="s">
        <v>1500</v>
      </c>
      <c r="C635" s="12" t="s">
        <v>282</v>
      </c>
      <c r="D635" s="12" t="s">
        <v>283</v>
      </c>
      <c r="E635" s="12" t="s">
        <v>1547</v>
      </c>
      <c r="F635" s="12" t="s">
        <v>1548</v>
      </c>
      <c r="G635" s="12" t="s">
        <v>293</v>
      </c>
      <c r="H635" s="12" t="s">
        <v>287</v>
      </c>
      <c r="I635" s="12" t="s">
        <v>288</v>
      </c>
    </row>
    <row r="636" customFormat="false" ht="23.85" hidden="false" customHeight="false" outlineLevel="0" collapsed="false">
      <c r="A636" s="12" t="s">
        <v>109</v>
      </c>
      <c r="B636" s="12" t="s">
        <v>1500</v>
      </c>
      <c r="C636" s="12" t="s">
        <v>282</v>
      </c>
      <c r="D636" s="12" t="s">
        <v>283</v>
      </c>
      <c r="E636" s="12" t="s">
        <v>1549</v>
      </c>
      <c r="F636" s="12" t="s">
        <v>1550</v>
      </c>
      <c r="G636" s="12" t="s">
        <v>293</v>
      </c>
      <c r="H636" s="12" t="s">
        <v>287</v>
      </c>
      <c r="I636" s="12" t="s">
        <v>288</v>
      </c>
    </row>
    <row r="637" customFormat="false" ht="23.85" hidden="false" customHeight="false" outlineLevel="0" collapsed="false">
      <c r="A637" s="12" t="s">
        <v>109</v>
      </c>
      <c r="B637" s="12" t="s">
        <v>1500</v>
      </c>
      <c r="C637" s="12" t="s">
        <v>282</v>
      </c>
      <c r="D637" s="12" t="s">
        <v>283</v>
      </c>
      <c r="E637" s="12" t="s">
        <v>1551</v>
      </c>
      <c r="F637" s="12" t="s">
        <v>1552</v>
      </c>
      <c r="G637" s="12" t="s">
        <v>293</v>
      </c>
      <c r="H637" s="12" t="s">
        <v>287</v>
      </c>
      <c r="I637" s="12" t="s">
        <v>288</v>
      </c>
    </row>
    <row r="638" customFormat="false" ht="23.85" hidden="false" customHeight="false" outlineLevel="0" collapsed="false">
      <c r="A638" s="12" t="s">
        <v>109</v>
      </c>
      <c r="B638" s="12" t="s">
        <v>1500</v>
      </c>
      <c r="C638" s="12" t="s">
        <v>282</v>
      </c>
      <c r="D638" s="12" t="s">
        <v>283</v>
      </c>
      <c r="E638" s="12" t="s">
        <v>1553</v>
      </c>
      <c r="F638" s="12" t="s">
        <v>1554</v>
      </c>
      <c r="G638" s="12" t="s">
        <v>286</v>
      </c>
      <c r="H638" s="12" t="s">
        <v>287</v>
      </c>
      <c r="I638" s="12" t="s">
        <v>288</v>
      </c>
    </row>
    <row r="639" customFormat="false" ht="23.85" hidden="false" customHeight="false" outlineLevel="0" collapsed="false">
      <c r="A639" s="12" t="s">
        <v>109</v>
      </c>
      <c r="B639" s="12" t="s">
        <v>1500</v>
      </c>
      <c r="C639" s="12" t="s">
        <v>282</v>
      </c>
      <c r="D639" s="12" t="s">
        <v>283</v>
      </c>
      <c r="E639" s="12" t="s">
        <v>1555</v>
      </c>
      <c r="F639" s="12" t="s">
        <v>1556</v>
      </c>
      <c r="G639" s="12" t="s">
        <v>286</v>
      </c>
      <c r="H639" s="12" t="s">
        <v>287</v>
      </c>
      <c r="I639" s="12" t="s">
        <v>288</v>
      </c>
    </row>
    <row r="640" customFormat="false" ht="23.85" hidden="false" customHeight="false" outlineLevel="0" collapsed="false">
      <c r="A640" s="12" t="s">
        <v>109</v>
      </c>
      <c r="B640" s="12" t="s">
        <v>1500</v>
      </c>
      <c r="C640" s="12" t="s">
        <v>282</v>
      </c>
      <c r="D640" s="12" t="s">
        <v>283</v>
      </c>
      <c r="E640" s="12" t="s">
        <v>1557</v>
      </c>
      <c r="F640" s="12" t="s">
        <v>1558</v>
      </c>
      <c r="G640" s="12" t="s">
        <v>293</v>
      </c>
      <c r="H640" s="12" t="s">
        <v>287</v>
      </c>
      <c r="I640" s="12" t="s">
        <v>288</v>
      </c>
    </row>
    <row r="641" customFormat="false" ht="23.85" hidden="false" customHeight="false" outlineLevel="0" collapsed="false">
      <c r="A641" s="12" t="s">
        <v>109</v>
      </c>
      <c r="B641" s="12" t="s">
        <v>1500</v>
      </c>
      <c r="C641" s="12" t="s">
        <v>282</v>
      </c>
      <c r="D641" s="12" t="s">
        <v>283</v>
      </c>
      <c r="E641" s="12" t="s">
        <v>1559</v>
      </c>
      <c r="F641" s="12" t="s">
        <v>1560</v>
      </c>
      <c r="G641" s="12" t="s">
        <v>293</v>
      </c>
      <c r="H641" s="12" t="s">
        <v>287</v>
      </c>
      <c r="I641" s="12" t="s">
        <v>288</v>
      </c>
    </row>
    <row r="642" customFormat="false" ht="23.85" hidden="false" customHeight="false" outlineLevel="0" collapsed="false">
      <c r="A642" s="12" t="s">
        <v>109</v>
      </c>
      <c r="B642" s="12" t="s">
        <v>1500</v>
      </c>
      <c r="C642" s="12" t="s">
        <v>282</v>
      </c>
      <c r="D642" s="12" t="s">
        <v>283</v>
      </c>
      <c r="E642" s="12" t="s">
        <v>1561</v>
      </c>
      <c r="F642" s="12" t="s">
        <v>1562</v>
      </c>
      <c r="G642" s="12" t="s">
        <v>293</v>
      </c>
      <c r="H642" s="12" t="s">
        <v>287</v>
      </c>
      <c r="I642" s="12" t="s">
        <v>288</v>
      </c>
    </row>
    <row r="643" customFormat="false" ht="23.85" hidden="false" customHeight="false" outlineLevel="0" collapsed="false">
      <c r="A643" s="12" t="s">
        <v>109</v>
      </c>
      <c r="B643" s="12" t="s">
        <v>1500</v>
      </c>
      <c r="C643" s="12" t="s">
        <v>282</v>
      </c>
      <c r="D643" s="12" t="s">
        <v>283</v>
      </c>
      <c r="E643" s="12" t="s">
        <v>1563</v>
      </c>
      <c r="F643" s="12" t="s">
        <v>1564</v>
      </c>
      <c r="G643" s="12" t="s">
        <v>293</v>
      </c>
      <c r="H643" s="12" t="s">
        <v>287</v>
      </c>
      <c r="I643" s="12" t="s">
        <v>288</v>
      </c>
    </row>
    <row r="644" customFormat="false" ht="23.85" hidden="false" customHeight="false" outlineLevel="0" collapsed="false">
      <c r="A644" s="12" t="s">
        <v>109</v>
      </c>
      <c r="B644" s="12" t="s">
        <v>1500</v>
      </c>
      <c r="C644" s="12" t="s">
        <v>282</v>
      </c>
      <c r="D644" s="12" t="s">
        <v>283</v>
      </c>
      <c r="E644" s="12" t="s">
        <v>1565</v>
      </c>
      <c r="F644" s="12" t="s">
        <v>1566</v>
      </c>
      <c r="G644" s="12" t="s">
        <v>286</v>
      </c>
      <c r="H644" s="12" t="s">
        <v>287</v>
      </c>
      <c r="I644" s="12" t="s">
        <v>288</v>
      </c>
    </row>
    <row r="645" customFormat="false" ht="23.85" hidden="false" customHeight="false" outlineLevel="0" collapsed="false">
      <c r="A645" s="12" t="s">
        <v>109</v>
      </c>
      <c r="B645" s="12" t="s">
        <v>1500</v>
      </c>
      <c r="C645" s="12" t="s">
        <v>282</v>
      </c>
      <c r="D645" s="12" t="s">
        <v>283</v>
      </c>
      <c r="E645" s="12" t="s">
        <v>1567</v>
      </c>
      <c r="F645" s="12" t="s">
        <v>1568</v>
      </c>
      <c r="G645" s="12" t="s">
        <v>293</v>
      </c>
      <c r="H645" s="12" t="s">
        <v>287</v>
      </c>
      <c r="I645" s="12" t="s">
        <v>288</v>
      </c>
    </row>
    <row r="646" customFormat="false" ht="23.85" hidden="false" customHeight="false" outlineLevel="0" collapsed="false">
      <c r="A646" s="12" t="s">
        <v>109</v>
      </c>
      <c r="B646" s="12" t="s">
        <v>1500</v>
      </c>
      <c r="C646" s="12" t="s">
        <v>282</v>
      </c>
      <c r="D646" s="12" t="s">
        <v>283</v>
      </c>
      <c r="E646" s="12" t="s">
        <v>1569</v>
      </c>
      <c r="F646" s="12" t="s">
        <v>1570</v>
      </c>
      <c r="G646" s="12" t="s">
        <v>293</v>
      </c>
      <c r="H646" s="12" t="s">
        <v>287</v>
      </c>
      <c r="I646" s="12" t="s">
        <v>288</v>
      </c>
    </row>
    <row r="647" customFormat="false" ht="23.85" hidden="false" customHeight="false" outlineLevel="0" collapsed="false">
      <c r="A647" s="12" t="s">
        <v>109</v>
      </c>
      <c r="B647" s="12" t="s">
        <v>1500</v>
      </c>
      <c r="C647" s="12" t="s">
        <v>282</v>
      </c>
      <c r="D647" s="12" t="s">
        <v>283</v>
      </c>
      <c r="E647" s="12" t="s">
        <v>1571</v>
      </c>
      <c r="F647" s="12" t="s">
        <v>1572</v>
      </c>
      <c r="G647" s="12" t="s">
        <v>293</v>
      </c>
      <c r="H647" s="12" t="s">
        <v>287</v>
      </c>
      <c r="I647" s="12" t="s">
        <v>288</v>
      </c>
    </row>
    <row r="648" customFormat="false" ht="23.85" hidden="false" customHeight="false" outlineLevel="0" collapsed="false">
      <c r="A648" s="12" t="s">
        <v>109</v>
      </c>
      <c r="B648" s="12" t="s">
        <v>1500</v>
      </c>
      <c r="C648" s="12" t="s">
        <v>282</v>
      </c>
      <c r="D648" s="12" t="s">
        <v>283</v>
      </c>
      <c r="E648" s="12" t="s">
        <v>1573</v>
      </c>
      <c r="F648" s="12" t="s">
        <v>1574</v>
      </c>
      <c r="G648" s="12" t="s">
        <v>293</v>
      </c>
      <c r="H648" s="12" t="s">
        <v>287</v>
      </c>
      <c r="I648" s="12" t="s">
        <v>288</v>
      </c>
    </row>
    <row r="649" customFormat="false" ht="23.85" hidden="false" customHeight="false" outlineLevel="0" collapsed="false">
      <c r="A649" s="12" t="s">
        <v>109</v>
      </c>
      <c r="B649" s="12" t="s">
        <v>1500</v>
      </c>
      <c r="C649" s="12" t="s">
        <v>282</v>
      </c>
      <c r="D649" s="12" t="s">
        <v>283</v>
      </c>
      <c r="E649" s="12" t="s">
        <v>1575</v>
      </c>
      <c r="F649" s="12" t="s">
        <v>1576</v>
      </c>
      <c r="G649" s="12" t="s">
        <v>286</v>
      </c>
      <c r="H649" s="12" t="s">
        <v>287</v>
      </c>
      <c r="I649" s="12" t="s">
        <v>288</v>
      </c>
    </row>
    <row r="650" customFormat="false" ht="23.85" hidden="false" customHeight="false" outlineLevel="0" collapsed="false">
      <c r="A650" s="12" t="s">
        <v>109</v>
      </c>
      <c r="B650" s="12" t="s">
        <v>1500</v>
      </c>
      <c r="C650" s="12" t="s">
        <v>282</v>
      </c>
      <c r="D650" s="12" t="s">
        <v>283</v>
      </c>
      <c r="E650" s="12" t="s">
        <v>1577</v>
      </c>
      <c r="F650" s="12" t="s">
        <v>1578</v>
      </c>
      <c r="G650" s="12" t="s">
        <v>286</v>
      </c>
      <c r="H650" s="12" t="s">
        <v>287</v>
      </c>
      <c r="I650" s="12" t="s">
        <v>288</v>
      </c>
    </row>
    <row r="651" customFormat="false" ht="23.85" hidden="false" customHeight="false" outlineLevel="0" collapsed="false">
      <c r="A651" s="12" t="s">
        <v>109</v>
      </c>
      <c r="B651" s="12" t="s">
        <v>1500</v>
      </c>
      <c r="C651" s="12" t="s">
        <v>282</v>
      </c>
      <c r="D651" s="12" t="s">
        <v>283</v>
      </c>
      <c r="E651" s="12" t="s">
        <v>1579</v>
      </c>
      <c r="F651" s="12" t="s">
        <v>1580</v>
      </c>
      <c r="G651" s="12" t="s">
        <v>293</v>
      </c>
      <c r="H651" s="12" t="s">
        <v>287</v>
      </c>
      <c r="I651" s="12" t="s">
        <v>288</v>
      </c>
    </row>
    <row r="652" customFormat="false" ht="23.85" hidden="false" customHeight="false" outlineLevel="0" collapsed="false">
      <c r="A652" s="12" t="s">
        <v>109</v>
      </c>
      <c r="B652" s="12" t="s">
        <v>1500</v>
      </c>
      <c r="C652" s="12" t="s">
        <v>282</v>
      </c>
      <c r="D652" s="12" t="s">
        <v>283</v>
      </c>
      <c r="E652" s="12" t="s">
        <v>1581</v>
      </c>
      <c r="F652" s="12" t="s">
        <v>1582</v>
      </c>
      <c r="G652" s="12" t="s">
        <v>293</v>
      </c>
      <c r="H652" s="12" t="s">
        <v>287</v>
      </c>
      <c r="I652" s="12" t="s">
        <v>288</v>
      </c>
    </row>
    <row r="653" customFormat="false" ht="23.85" hidden="false" customHeight="false" outlineLevel="0" collapsed="false">
      <c r="A653" s="12" t="s">
        <v>109</v>
      </c>
      <c r="B653" s="12" t="s">
        <v>1500</v>
      </c>
      <c r="C653" s="12" t="s">
        <v>282</v>
      </c>
      <c r="D653" s="12" t="s">
        <v>283</v>
      </c>
      <c r="E653" s="12" t="s">
        <v>1583</v>
      </c>
      <c r="F653" s="12" t="s">
        <v>1584</v>
      </c>
      <c r="G653" s="12" t="s">
        <v>293</v>
      </c>
      <c r="H653" s="12" t="s">
        <v>287</v>
      </c>
      <c r="I653" s="12" t="s">
        <v>288</v>
      </c>
    </row>
    <row r="654" customFormat="false" ht="23.85" hidden="false" customHeight="false" outlineLevel="0" collapsed="false">
      <c r="A654" s="12" t="s">
        <v>109</v>
      </c>
      <c r="B654" s="12" t="s">
        <v>1500</v>
      </c>
      <c r="C654" s="12" t="s">
        <v>282</v>
      </c>
      <c r="D654" s="12" t="s">
        <v>283</v>
      </c>
      <c r="E654" s="12" t="s">
        <v>1585</v>
      </c>
      <c r="F654" s="12" t="s">
        <v>1586</v>
      </c>
      <c r="G654" s="12" t="s">
        <v>293</v>
      </c>
      <c r="H654" s="12" t="s">
        <v>287</v>
      </c>
      <c r="I654" s="12" t="s">
        <v>288</v>
      </c>
    </row>
    <row r="655" customFormat="false" ht="23.85" hidden="false" customHeight="false" outlineLevel="0" collapsed="false">
      <c r="A655" s="12" t="s">
        <v>109</v>
      </c>
      <c r="B655" s="12" t="s">
        <v>1500</v>
      </c>
      <c r="C655" s="12" t="s">
        <v>282</v>
      </c>
      <c r="D655" s="12" t="s">
        <v>283</v>
      </c>
      <c r="E655" s="12" t="s">
        <v>1587</v>
      </c>
      <c r="F655" s="12" t="s">
        <v>1588</v>
      </c>
      <c r="G655" s="12" t="s">
        <v>286</v>
      </c>
      <c r="H655" s="12" t="s">
        <v>287</v>
      </c>
      <c r="I655" s="12" t="s">
        <v>288</v>
      </c>
    </row>
    <row r="656" customFormat="false" ht="23.85" hidden="false" customHeight="false" outlineLevel="0" collapsed="false">
      <c r="A656" s="12" t="s">
        <v>109</v>
      </c>
      <c r="B656" s="12" t="s">
        <v>1500</v>
      </c>
      <c r="C656" s="12" t="s">
        <v>282</v>
      </c>
      <c r="D656" s="12" t="s">
        <v>283</v>
      </c>
      <c r="E656" s="12" t="s">
        <v>1589</v>
      </c>
      <c r="F656" s="12" t="s">
        <v>1590</v>
      </c>
      <c r="G656" s="12" t="s">
        <v>293</v>
      </c>
      <c r="H656" s="12" t="s">
        <v>287</v>
      </c>
      <c r="I656" s="12" t="s">
        <v>288</v>
      </c>
    </row>
    <row r="657" customFormat="false" ht="23.85" hidden="false" customHeight="false" outlineLevel="0" collapsed="false">
      <c r="A657" s="12" t="s">
        <v>109</v>
      </c>
      <c r="B657" s="12" t="s">
        <v>1500</v>
      </c>
      <c r="C657" s="12" t="s">
        <v>282</v>
      </c>
      <c r="D657" s="12" t="s">
        <v>283</v>
      </c>
      <c r="E657" s="12" t="s">
        <v>1591</v>
      </c>
      <c r="F657" s="12" t="s">
        <v>1592</v>
      </c>
      <c r="G657" s="12" t="s">
        <v>293</v>
      </c>
      <c r="H657" s="12" t="s">
        <v>287</v>
      </c>
      <c r="I657" s="12" t="s">
        <v>288</v>
      </c>
    </row>
    <row r="658" customFormat="false" ht="23.85" hidden="false" customHeight="false" outlineLevel="0" collapsed="false">
      <c r="A658" s="12" t="s">
        <v>109</v>
      </c>
      <c r="B658" s="12" t="s">
        <v>1500</v>
      </c>
      <c r="C658" s="12" t="s">
        <v>282</v>
      </c>
      <c r="D658" s="12" t="s">
        <v>283</v>
      </c>
      <c r="E658" s="12" t="s">
        <v>1593</v>
      </c>
      <c r="F658" s="12" t="s">
        <v>1594</v>
      </c>
      <c r="G658" s="12" t="s">
        <v>293</v>
      </c>
      <c r="H658" s="12" t="s">
        <v>287</v>
      </c>
      <c r="I658" s="12" t="s">
        <v>288</v>
      </c>
    </row>
    <row r="659" customFormat="false" ht="23.85" hidden="false" customHeight="false" outlineLevel="0" collapsed="false">
      <c r="A659" s="12" t="s">
        <v>109</v>
      </c>
      <c r="B659" s="12" t="s">
        <v>1500</v>
      </c>
      <c r="C659" s="12" t="s">
        <v>282</v>
      </c>
      <c r="D659" s="12" t="s">
        <v>283</v>
      </c>
      <c r="E659" s="12" t="s">
        <v>1595</v>
      </c>
      <c r="F659" s="12" t="s">
        <v>1596</v>
      </c>
      <c r="G659" s="12" t="s">
        <v>293</v>
      </c>
      <c r="H659" s="12" t="s">
        <v>287</v>
      </c>
      <c r="I659" s="12" t="s">
        <v>288</v>
      </c>
    </row>
    <row r="660" customFormat="false" ht="23.85" hidden="false" customHeight="false" outlineLevel="0" collapsed="false">
      <c r="A660" s="12" t="s">
        <v>109</v>
      </c>
      <c r="B660" s="12" t="s">
        <v>1500</v>
      </c>
      <c r="C660" s="12" t="s">
        <v>282</v>
      </c>
      <c r="D660" s="12" t="s">
        <v>283</v>
      </c>
      <c r="E660" s="12" t="s">
        <v>1597</v>
      </c>
      <c r="F660" s="12" t="s">
        <v>1598</v>
      </c>
      <c r="G660" s="12" t="s">
        <v>286</v>
      </c>
      <c r="H660" s="12" t="s">
        <v>287</v>
      </c>
      <c r="I660" s="12" t="s">
        <v>288</v>
      </c>
    </row>
    <row r="661" customFormat="false" ht="23.85" hidden="false" customHeight="false" outlineLevel="0" collapsed="false">
      <c r="A661" s="12" t="s">
        <v>109</v>
      </c>
      <c r="B661" s="12" t="s">
        <v>1500</v>
      </c>
      <c r="C661" s="12" t="s">
        <v>282</v>
      </c>
      <c r="D661" s="12" t="s">
        <v>283</v>
      </c>
      <c r="E661" s="12" t="s">
        <v>1599</v>
      </c>
      <c r="F661" s="12" t="s">
        <v>1600</v>
      </c>
      <c r="G661" s="12" t="s">
        <v>286</v>
      </c>
      <c r="H661" s="12" t="s">
        <v>287</v>
      </c>
      <c r="I661" s="12" t="s">
        <v>288</v>
      </c>
    </row>
    <row r="662" customFormat="false" ht="23.85" hidden="false" customHeight="false" outlineLevel="0" collapsed="false">
      <c r="A662" s="12" t="s">
        <v>109</v>
      </c>
      <c r="B662" s="12" t="s">
        <v>1500</v>
      </c>
      <c r="C662" s="12" t="s">
        <v>282</v>
      </c>
      <c r="D662" s="12" t="s">
        <v>283</v>
      </c>
      <c r="E662" s="12" t="s">
        <v>1601</v>
      </c>
      <c r="F662" s="12" t="s">
        <v>1602</v>
      </c>
      <c r="G662" s="12" t="s">
        <v>293</v>
      </c>
      <c r="H662" s="12" t="s">
        <v>287</v>
      </c>
      <c r="I662" s="12" t="s">
        <v>288</v>
      </c>
    </row>
    <row r="663" customFormat="false" ht="23.85" hidden="false" customHeight="false" outlineLevel="0" collapsed="false">
      <c r="A663" s="12" t="s">
        <v>109</v>
      </c>
      <c r="B663" s="12" t="s">
        <v>1500</v>
      </c>
      <c r="C663" s="12" t="s">
        <v>282</v>
      </c>
      <c r="D663" s="12" t="s">
        <v>283</v>
      </c>
      <c r="E663" s="12" t="s">
        <v>1603</v>
      </c>
      <c r="F663" s="12" t="s">
        <v>1604</v>
      </c>
      <c r="G663" s="12" t="s">
        <v>293</v>
      </c>
      <c r="H663" s="12" t="s">
        <v>287</v>
      </c>
      <c r="I663" s="12" t="s">
        <v>288</v>
      </c>
    </row>
    <row r="664" customFormat="false" ht="23.85" hidden="false" customHeight="false" outlineLevel="0" collapsed="false">
      <c r="A664" s="12" t="s">
        <v>109</v>
      </c>
      <c r="B664" s="12" t="s">
        <v>1500</v>
      </c>
      <c r="C664" s="12" t="s">
        <v>282</v>
      </c>
      <c r="D664" s="12" t="s">
        <v>283</v>
      </c>
      <c r="E664" s="12" t="s">
        <v>1605</v>
      </c>
      <c r="F664" s="12" t="s">
        <v>1606</v>
      </c>
      <c r="G664" s="12" t="s">
        <v>293</v>
      </c>
      <c r="H664" s="12" t="s">
        <v>287</v>
      </c>
      <c r="I664" s="12" t="s">
        <v>288</v>
      </c>
    </row>
    <row r="665" customFormat="false" ht="23.85" hidden="false" customHeight="false" outlineLevel="0" collapsed="false">
      <c r="A665" s="12" t="s">
        <v>109</v>
      </c>
      <c r="B665" s="12" t="s">
        <v>1500</v>
      </c>
      <c r="C665" s="12" t="s">
        <v>282</v>
      </c>
      <c r="D665" s="12" t="s">
        <v>283</v>
      </c>
      <c r="E665" s="12" t="s">
        <v>1607</v>
      </c>
      <c r="F665" s="12" t="s">
        <v>1608</v>
      </c>
      <c r="G665" s="12" t="s">
        <v>293</v>
      </c>
      <c r="H665" s="12" t="s">
        <v>287</v>
      </c>
      <c r="I665" s="12" t="s">
        <v>288</v>
      </c>
    </row>
    <row r="666" customFormat="false" ht="23.85" hidden="false" customHeight="false" outlineLevel="0" collapsed="false">
      <c r="A666" s="12" t="s">
        <v>109</v>
      </c>
      <c r="B666" s="12" t="s">
        <v>1500</v>
      </c>
      <c r="C666" s="12" t="s">
        <v>282</v>
      </c>
      <c r="D666" s="12" t="s">
        <v>283</v>
      </c>
      <c r="E666" s="12" t="s">
        <v>1609</v>
      </c>
      <c r="F666" s="12" t="s">
        <v>1610</v>
      </c>
      <c r="G666" s="12" t="s">
        <v>286</v>
      </c>
      <c r="H666" s="12" t="s">
        <v>287</v>
      </c>
      <c r="I666" s="12" t="s">
        <v>288</v>
      </c>
    </row>
    <row r="667" customFormat="false" ht="23.85" hidden="false" customHeight="false" outlineLevel="0" collapsed="false">
      <c r="A667" s="12" t="s">
        <v>109</v>
      </c>
      <c r="B667" s="12" t="s">
        <v>1500</v>
      </c>
      <c r="C667" s="12" t="s">
        <v>282</v>
      </c>
      <c r="D667" s="12" t="s">
        <v>283</v>
      </c>
      <c r="E667" s="12" t="s">
        <v>1611</v>
      </c>
      <c r="F667" s="12" t="s">
        <v>1612</v>
      </c>
      <c r="G667" s="12" t="s">
        <v>293</v>
      </c>
      <c r="H667" s="12" t="s">
        <v>287</v>
      </c>
      <c r="I667" s="12" t="s">
        <v>288</v>
      </c>
    </row>
    <row r="668" customFormat="false" ht="23.85" hidden="false" customHeight="false" outlineLevel="0" collapsed="false">
      <c r="A668" s="12" t="s">
        <v>109</v>
      </c>
      <c r="B668" s="12" t="s">
        <v>1500</v>
      </c>
      <c r="C668" s="12" t="s">
        <v>282</v>
      </c>
      <c r="D668" s="12" t="s">
        <v>283</v>
      </c>
      <c r="E668" s="12" t="s">
        <v>1613</v>
      </c>
      <c r="F668" s="12" t="s">
        <v>1614</v>
      </c>
      <c r="G668" s="12" t="s">
        <v>293</v>
      </c>
      <c r="H668" s="12" t="s">
        <v>287</v>
      </c>
      <c r="I668" s="12" t="s">
        <v>288</v>
      </c>
    </row>
    <row r="669" customFormat="false" ht="23.85" hidden="false" customHeight="false" outlineLevel="0" collapsed="false">
      <c r="A669" s="12" t="s">
        <v>109</v>
      </c>
      <c r="B669" s="12" t="s">
        <v>1500</v>
      </c>
      <c r="C669" s="12" t="s">
        <v>282</v>
      </c>
      <c r="D669" s="12" t="s">
        <v>283</v>
      </c>
      <c r="E669" s="12" t="s">
        <v>1615</v>
      </c>
      <c r="F669" s="12" t="s">
        <v>1616</v>
      </c>
      <c r="G669" s="12" t="s">
        <v>293</v>
      </c>
      <c r="H669" s="12" t="s">
        <v>287</v>
      </c>
      <c r="I669" s="12" t="s">
        <v>288</v>
      </c>
    </row>
    <row r="670" customFormat="false" ht="23.85" hidden="false" customHeight="false" outlineLevel="0" collapsed="false">
      <c r="A670" s="12" t="s">
        <v>109</v>
      </c>
      <c r="B670" s="12" t="s">
        <v>1500</v>
      </c>
      <c r="C670" s="12" t="s">
        <v>282</v>
      </c>
      <c r="D670" s="12" t="s">
        <v>283</v>
      </c>
      <c r="E670" s="12" t="s">
        <v>1617</v>
      </c>
      <c r="F670" s="12" t="s">
        <v>1618</v>
      </c>
      <c r="G670" s="12" t="s">
        <v>293</v>
      </c>
      <c r="H670" s="12" t="s">
        <v>287</v>
      </c>
      <c r="I670" s="12" t="s">
        <v>288</v>
      </c>
    </row>
    <row r="671" customFormat="false" ht="23.85" hidden="false" customHeight="false" outlineLevel="0" collapsed="false">
      <c r="A671" s="12" t="s">
        <v>109</v>
      </c>
      <c r="B671" s="12" t="s">
        <v>1500</v>
      </c>
      <c r="C671" s="12" t="s">
        <v>282</v>
      </c>
      <c r="D671" s="12" t="s">
        <v>283</v>
      </c>
      <c r="E671" s="12" t="s">
        <v>1619</v>
      </c>
      <c r="F671" s="12" t="s">
        <v>1620</v>
      </c>
      <c r="G671" s="12" t="s">
        <v>286</v>
      </c>
      <c r="H671" s="12" t="s">
        <v>287</v>
      </c>
      <c r="I671" s="12" t="s">
        <v>288</v>
      </c>
    </row>
    <row r="672" customFormat="false" ht="23.85" hidden="false" customHeight="false" outlineLevel="0" collapsed="false">
      <c r="A672" s="12" t="s">
        <v>109</v>
      </c>
      <c r="B672" s="12" t="s">
        <v>1500</v>
      </c>
      <c r="C672" s="12" t="s">
        <v>282</v>
      </c>
      <c r="D672" s="12" t="s">
        <v>283</v>
      </c>
      <c r="E672" s="12" t="s">
        <v>1621</v>
      </c>
      <c r="F672" s="12" t="s">
        <v>1622</v>
      </c>
      <c r="G672" s="12" t="s">
        <v>293</v>
      </c>
      <c r="H672" s="12" t="s">
        <v>287</v>
      </c>
      <c r="I672" s="12" t="s">
        <v>288</v>
      </c>
    </row>
    <row r="673" customFormat="false" ht="23.85" hidden="false" customHeight="false" outlineLevel="0" collapsed="false">
      <c r="A673" s="12" t="s">
        <v>109</v>
      </c>
      <c r="B673" s="12" t="s">
        <v>1500</v>
      </c>
      <c r="C673" s="12" t="s">
        <v>282</v>
      </c>
      <c r="D673" s="12" t="s">
        <v>283</v>
      </c>
      <c r="E673" s="12" t="s">
        <v>1623</v>
      </c>
      <c r="F673" s="12" t="s">
        <v>1624</v>
      </c>
      <c r="G673" s="12" t="s">
        <v>293</v>
      </c>
      <c r="H673" s="12" t="s">
        <v>287</v>
      </c>
      <c r="I673" s="12" t="s">
        <v>288</v>
      </c>
    </row>
    <row r="674" customFormat="false" ht="23.85" hidden="false" customHeight="false" outlineLevel="0" collapsed="false">
      <c r="A674" s="12" t="s">
        <v>109</v>
      </c>
      <c r="B674" s="12" t="s">
        <v>1500</v>
      </c>
      <c r="C674" s="12" t="s">
        <v>282</v>
      </c>
      <c r="D674" s="12" t="s">
        <v>283</v>
      </c>
      <c r="E674" s="12" t="s">
        <v>1625</v>
      </c>
      <c r="F674" s="12" t="s">
        <v>1626</v>
      </c>
      <c r="G674" s="12" t="s">
        <v>293</v>
      </c>
      <c r="H674" s="12" t="s">
        <v>287</v>
      </c>
      <c r="I674" s="12" t="s">
        <v>288</v>
      </c>
    </row>
    <row r="675" customFormat="false" ht="23.85" hidden="false" customHeight="false" outlineLevel="0" collapsed="false">
      <c r="A675" s="12" t="s">
        <v>109</v>
      </c>
      <c r="B675" s="12" t="s">
        <v>1500</v>
      </c>
      <c r="C675" s="12" t="s">
        <v>282</v>
      </c>
      <c r="D675" s="12" t="s">
        <v>283</v>
      </c>
      <c r="E675" s="12" t="s">
        <v>1627</v>
      </c>
      <c r="F675" s="12" t="s">
        <v>1628</v>
      </c>
      <c r="G675" s="12" t="s">
        <v>293</v>
      </c>
      <c r="H675" s="12" t="s">
        <v>287</v>
      </c>
      <c r="I675" s="12" t="s">
        <v>288</v>
      </c>
    </row>
    <row r="676" customFormat="false" ht="23.85" hidden="false" customHeight="false" outlineLevel="0" collapsed="false">
      <c r="A676" s="12" t="s">
        <v>109</v>
      </c>
      <c r="B676" s="12" t="s">
        <v>1500</v>
      </c>
      <c r="C676" s="12" t="s">
        <v>282</v>
      </c>
      <c r="D676" s="12" t="s">
        <v>283</v>
      </c>
      <c r="E676" s="12" t="s">
        <v>1629</v>
      </c>
      <c r="F676" s="12" t="s">
        <v>1630</v>
      </c>
      <c r="G676" s="12" t="s">
        <v>286</v>
      </c>
      <c r="H676" s="12" t="s">
        <v>287</v>
      </c>
      <c r="I676" s="12" t="s">
        <v>288</v>
      </c>
    </row>
    <row r="677" customFormat="false" ht="23.85" hidden="false" customHeight="false" outlineLevel="0" collapsed="false">
      <c r="A677" s="12" t="s">
        <v>109</v>
      </c>
      <c r="B677" s="12" t="s">
        <v>1500</v>
      </c>
      <c r="C677" s="12" t="s">
        <v>282</v>
      </c>
      <c r="D677" s="12" t="s">
        <v>283</v>
      </c>
      <c r="E677" s="12" t="s">
        <v>1631</v>
      </c>
      <c r="F677" s="12" t="s">
        <v>1632</v>
      </c>
      <c r="G677" s="12" t="s">
        <v>293</v>
      </c>
      <c r="H677" s="12" t="s">
        <v>287</v>
      </c>
      <c r="I677" s="12" t="s">
        <v>288</v>
      </c>
    </row>
    <row r="678" customFormat="false" ht="23.85" hidden="false" customHeight="false" outlineLevel="0" collapsed="false">
      <c r="A678" s="12" t="s">
        <v>109</v>
      </c>
      <c r="B678" s="12" t="s">
        <v>1500</v>
      </c>
      <c r="C678" s="12" t="s">
        <v>282</v>
      </c>
      <c r="D678" s="12" t="s">
        <v>283</v>
      </c>
      <c r="E678" s="12" t="s">
        <v>1633</v>
      </c>
      <c r="F678" s="12" t="s">
        <v>1634</v>
      </c>
      <c r="G678" s="12" t="s">
        <v>293</v>
      </c>
      <c r="H678" s="12" t="s">
        <v>287</v>
      </c>
      <c r="I678" s="12" t="s">
        <v>288</v>
      </c>
    </row>
    <row r="679" customFormat="false" ht="23.85" hidden="false" customHeight="false" outlineLevel="0" collapsed="false">
      <c r="A679" s="12" t="s">
        <v>109</v>
      </c>
      <c r="B679" s="12" t="s">
        <v>1500</v>
      </c>
      <c r="C679" s="12" t="s">
        <v>282</v>
      </c>
      <c r="D679" s="12" t="s">
        <v>283</v>
      </c>
      <c r="E679" s="12" t="s">
        <v>1635</v>
      </c>
      <c r="F679" s="12" t="s">
        <v>1636</v>
      </c>
      <c r="G679" s="12" t="s">
        <v>293</v>
      </c>
      <c r="H679" s="12" t="s">
        <v>287</v>
      </c>
      <c r="I679" s="12" t="s">
        <v>288</v>
      </c>
    </row>
    <row r="680" customFormat="false" ht="23.85" hidden="false" customHeight="false" outlineLevel="0" collapsed="false">
      <c r="A680" s="12" t="s">
        <v>109</v>
      </c>
      <c r="B680" s="12" t="s">
        <v>1500</v>
      </c>
      <c r="C680" s="12" t="s">
        <v>282</v>
      </c>
      <c r="D680" s="12" t="s">
        <v>283</v>
      </c>
      <c r="E680" s="12" t="s">
        <v>1637</v>
      </c>
      <c r="F680" s="12" t="s">
        <v>1638</v>
      </c>
      <c r="G680" s="12" t="s">
        <v>293</v>
      </c>
      <c r="H680" s="12" t="s">
        <v>287</v>
      </c>
      <c r="I680" s="12" t="s">
        <v>288</v>
      </c>
    </row>
    <row r="681" customFormat="false" ht="23.85" hidden="false" customHeight="false" outlineLevel="0" collapsed="false">
      <c r="A681" s="12" t="s">
        <v>109</v>
      </c>
      <c r="B681" s="12" t="s">
        <v>1500</v>
      </c>
      <c r="C681" s="12" t="s">
        <v>282</v>
      </c>
      <c r="D681" s="12" t="s">
        <v>283</v>
      </c>
      <c r="E681" s="12" t="s">
        <v>1639</v>
      </c>
      <c r="F681" s="12" t="s">
        <v>1640</v>
      </c>
      <c r="G681" s="12" t="s">
        <v>286</v>
      </c>
      <c r="H681" s="12" t="s">
        <v>287</v>
      </c>
      <c r="I681" s="12" t="s">
        <v>288</v>
      </c>
    </row>
    <row r="682" customFormat="false" ht="23.85" hidden="false" customHeight="false" outlineLevel="0" collapsed="false">
      <c r="A682" s="12" t="s">
        <v>109</v>
      </c>
      <c r="B682" s="12" t="s">
        <v>1500</v>
      </c>
      <c r="C682" s="12" t="s">
        <v>282</v>
      </c>
      <c r="D682" s="12" t="s">
        <v>283</v>
      </c>
      <c r="E682" s="12" t="s">
        <v>1641</v>
      </c>
      <c r="F682" s="12" t="s">
        <v>1642</v>
      </c>
      <c r="G682" s="12" t="s">
        <v>293</v>
      </c>
      <c r="H682" s="12" t="s">
        <v>287</v>
      </c>
      <c r="I682" s="12" t="s">
        <v>288</v>
      </c>
    </row>
    <row r="683" customFormat="false" ht="23.85" hidden="false" customHeight="false" outlineLevel="0" collapsed="false">
      <c r="A683" s="12" t="s">
        <v>109</v>
      </c>
      <c r="B683" s="12" t="s">
        <v>1500</v>
      </c>
      <c r="C683" s="12" t="s">
        <v>282</v>
      </c>
      <c r="D683" s="12" t="s">
        <v>283</v>
      </c>
      <c r="E683" s="12" t="s">
        <v>1643</v>
      </c>
      <c r="F683" s="12" t="s">
        <v>1644</v>
      </c>
      <c r="G683" s="12" t="s">
        <v>293</v>
      </c>
      <c r="H683" s="12" t="s">
        <v>287</v>
      </c>
      <c r="I683" s="12" t="s">
        <v>288</v>
      </c>
    </row>
    <row r="684" customFormat="false" ht="23.85" hidden="false" customHeight="false" outlineLevel="0" collapsed="false">
      <c r="A684" s="12" t="s">
        <v>109</v>
      </c>
      <c r="B684" s="12" t="s">
        <v>1500</v>
      </c>
      <c r="C684" s="12" t="s">
        <v>282</v>
      </c>
      <c r="D684" s="12" t="s">
        <v>283</v>
      </c>
      <c r="E684" s="12" t="s">
        <v>1645</v>
      </c>
      <c r="F684" s="12" t="s">
        <v>1646</v>
      </c>
      <c r="G684" s="12" t="s">
        <v>293</v>
      </c>
      <c r="H684" s="12" t="s">
        <v>287</v>
      </c>
      <c r="I684" s="12" t="s">
        <v>288</v>
      </c>
    </row>
    <row r="685" customFormat="false" ht="23.85" hidden="false" customHeight="false" outlineLevel="0" collapsed="false">
      <c r="A685" s="12" t="s">
        <v>109</v>
      </c>
      <c r="B685" s="12" t="s">
        <v>1500</v>
      </c>
      <c r="C685" s="12" t="s">
        <v>282</v>
      </c>
      <c r="D685" s="12" t="s">
        <v>283</v>
      </c>
      <c r="E685" s="12" t="s">
        <v>1647</v>
      </c>
      <c r="F685" s="12" t="s">
        <v>1648</v>
      </c>
      <c r="G685" s="12" t="s">
        <v>293</v>
      </c>
      <c r="H685" s="12" t="s">
        <v>287</v>
      </c>
      <c r="I685" s="12" t="s">
        <v>288</v>
      </c>
    </row>
    <row r="686" customFormat="false" ht="23.85" hidden="false" customHeight="false" outlineLevel="0" collapsed="false">
      <c r="A686" s="12" t="s">
        <v>109</v>
      </c>
      <c r="B686" s="12" t="s">
        <v>1500</v>
      </c>
      <c r="C686" s="12" t="s">
        <v>282</v>
      </c>
      <c r="D686" s="12" t="s">
        <v>283</v>
      </c>
      <c r="E686" s="12" t="s">
        <v>1649</v>
      </c>
      <c r="F686" s="12" t="s">
        <v>1650</v>
      </c>
      <c r="G686" s="12" t="s">
        <v>286</v>
      </c>
      <c r="H686" s="12" t="s">
        <v>287</v>
      </c>
      <c r="I686" s="12" t="s">
        <v>288</v>
      </c>
    </row>
    <row r="687" customFormat="false" ht="23.85" hidden="false" customHeight="false" outlineLevel="0" collapsed="false">
      <c r="A687" s="12" t="s">
        <v>109</v>
      </c>
      <c r="B687" s="12" t="s">
        <v>1500</v>
      </c>
      <c r="C687" s="12" t="s">
        <v>282</v>
      </c>
      <c r="D687" s="12" t="s">
        <v>283</v>
      </c>
      <c r="E687" s="12" t="s">
        <v>1651</v>
      </c>
      <c r="F687" s="12" t="s">
        <v>1652</v>
      </c>
      <c r="G687" s="12" t="s">
        <v>293</v>
      </c>
      <c r="H687" s="12" t="s">
        <v>287</v>
      </c>
      <c r="I687" s="12" t="s">
        <v>288</v>
      </c>
    </row>
    <row r="688" customFormat="false" ht="23.85" hidden="false" customHeight="false" outlineLevel="0" collapsed="false">
      <c r="A688" s="12" t="s">
        <v>109</v>
      </c>
      <c r="B688" s="12" t="s">
        <v>1500</v>
      </c>
      <c r="C688" s="12" t="s">
        <v>282</v>
      </c>
      <c r="D688" s="12" t="s">
        <v>283</v>
      </c>
      <c r="E688" s="12" t="s">
        <v>1653</v>
      </c>
      <c r="F688" s="12" t="s">
        <v>1654</v>
      </c>
      <c r="G688" s="12" t="s">
        <v>293</v>
      </c>
      <c r="H688" s="12" t="s">
        <v>287</v>
      </c>
      <c r="I688" s="12" t="s">
        <v>288</v>
      </c>
    </row>
    <row r="689" customFormat="false" ht="23.85" hidden="false" customHeight="false" outlineLevel="0" collapsed="false">
      <c r="A689" s="12" t="s">
        <v>109</v>
      </c>
      <c r="B689" s="12" t="s">
        <v>1500</v>
      </c>
      <c r="C689" s="12" t="s">
        <v>282</v>
      </c>
      <c r="D689" s="12" t="s">
        <v>283</v>
      </c>
      <c r="E689" s="12" t="s">
        <v>1655</v>
      </c>
      <c r="F689" s="12" t="s">
        <v>1656</v>
      </c>
      <c r="G689" s="12" t="s">
        <v>293</v>
      </c>
      <c r="H689" s="12" t="s">
        <v>287</v>
      </c>
      <c r="I689" s="12" t="s">
        <v>288</v>
      </c>
    </row>
    <row r="690" customFormat="false" ht="23.85" hidden="false" customHeight="false" outlineLevel="0" collapsed="false">
      <c r="A690" s="12" t="s">
        <v>109</v>
      </c>
      <c r="B690" s="12" t="s">
        <v>1500</v>
      </c>
      <c r="C690" s="12" t="s">
        <v>282</v>
      </c>
      <c r="D690" s="12" t="s">
        <v>283</v>
      </c>
      <c r="E690" s="12" t="s">
        <v>1657</v>
      </c>
      <c r="F690" s="12" t="s">
        <v>1658</v>
      </c>
      <c r="G690" s="12" t="s">
        <v>293</v>
      </c>
      <c r="H690" s="12" t="s">
        <v>287</v>
      </c>
      <c r="I690" s="12" t="s">
        <v>288</v>
      </c>
    </row>
    <row r="691" customFormat="false" ht="23.85" hidden="false" customHeight="false" outlineLevel="0" collapsed="false">
      <c r="A691" s="12" t="s">
        <v>109</v>
      </c>
      <c r="B691" s="12" t="s">
        <v>1500</v>
      </c>
      <c r="C691" s="12" t="s">
        <v>282</v>
      </c>
      <c r="D691" s="12" t="s">
        <v>283</v>
      </c>
      <c r="E691" s="12" t="s">
        <v>1659</v>
      </c>
      <c r="F691" s="12" t="s">
        <v>1660</v>
      </c>
      <c r="G691" s="12" t="s">
        <v>293</v>
      </c>
      <c r="H691" s="12" t="s">
        <v>287</v>
      </c>
      <c r="I691" s="12" t="s">
        <v>288</v>
      </c>
    </row>
    <row r="692" customFormat="false" ht="23.85" hidden="false" customHeight="false" outlineLevel="0" collapsed="false">
      <c r="A692" s="12" t="s">
        <v>109</v>
      </c>
      <c r="B692" s="12" t="s">
        <v>1500</v>
      </c>
      <c r="C692" s="12" t="s">
        <v>282</v>
      </c>
      <c r="D692" s="12" t="s">
        <v>283</v>
      </c>
      <c r="E692" s="12" t="s">
        <v>1661</v>
      </c>
      <c r="F692" s="12" t="s">
        <v>1662</v>
      </c>
      <c r="G692" s="12" t="s">
        <v>286</v>
      </c>
      <c r="H692" s="12" t="s">
        <v>287</v>
      </c>
      <c r="I692" s="12" t="s">
        <v>288</v>
      </c>
    </row>
    <row r="693" customFormat="false" ht="23.85" hidden="false" customHeight="false" outlineLevel="0" collapsed="false">
      <c r="A693" s="12" t="s">
        <v>109</v>
      </c>
      <c r="B693" s="12" t="s">
        <v>1500</v>
      </c>
      <c r="C693" s="12" t="s">
        <v>282</v>
      </c>
      <c r="D693" s="12" t="s">
        <v>283</v>
      </c>
      <c r="E693" s="12" t="s">
        <v>1663</v>
      </c>
      <c r="F693" s="12" t="s">
        <v>1664</v>
      </c>
      <c r="G693" s="12" t="s">
        <v>293</v>
      </c>
      <c r="H693" s="12" t="s">
        <v>287</v>
      </c>
      <c r="I693" s="12" t="s">
        <v>288</v>
      </c>
    </row>
    <row r="694" customFormat="false" ht="23.85" hidden="false" customHeight="false" outlineLevel="0" collapsed="false">
      <c r="A694" s="12" t="s">
        <v>109</v>
      </c>
      <c r="B694" s="12" t="s">
        <v>1500</v>
      </c>
      <c r="C694" s="12" t="s">
        <v>282</v>
      </c>
      <c r="D694" s="12" t="s">
        <v>283</v>
      </c>
      <c r="E694" s="12" t="s">
        <v>1665</v>
      </c>
      <c r="F694" s="12" t="s">
        <v>1666</v>
      </c>
      <c r="G694" s="12" t="s">
        <v>293</v>
      </c>
      <c r="H694" s="12" t="s">
        <v>287</v>
      </c>
      <c r="I694" s="12" t="s">
        <v>288</v>
      </c>
    </row>
    <row r="695" customFormat="false" ht="23.85" hidden="false" customHeight="false" outlineLevel="0" collapsed="false">
      <c r="A695" s="12" t="s">
        <v>109</v>
      </c>
      <c r="B695" s="12" t="s">
        <v>1500</v>
      </c>
      <c r="C695" s="12" t="s">
        <v>282</v>
      </c>
      <c r="D695" s="12" t="s">
        <v>283</v>
      </c>
      <c r="E695" s="12" t="s">
        <v>1667</v>
      </c>
      <c r="F695" s="12" t="s">
        <v>1668</v>
      </c>
      <c r="G695" s="12" t="s">
        <v>293</v>
      </c>
      <c r="H695" s="12" t="s">
        <v>287</v>
      </c>
      <c r="I695" s="12" t="s">
        <v>288</v>
      </c>
    </row>
    <row r="696" customFormat="false" ht="23.85" hidden="false" customHeight="false" outlineLevel="0" collapsed="false">
      <c r="A696" s="12" t="s">
        <v>109</v>
      </c>
      <c r="B696" s="12" t="s">
        <v>1500</v>
      </c>
      <c r="C696" s="12" t="s">
        <v>282</v>
      </c>
      <c r="D696" s="12" t="s">
        <v>283</v>
      </c>
      <c r="E696" s="12" t="s">
        <v>1669</v>
      </c>
      <c r="F696" s="12" t="s">
        <v>1670</v>
      </c>
      <c r="G696" s="12" t="s">
        <v>293</v>
      </c>
      <c r="H696" s="12" t="s">
        <v>287</v>
      </c>
      <c r="I696" s="12" t="s">
        <v>288</v>
      </c>
    </row>
    <row r="697" customFormat="false" ht="23.85" hidden="false" customHeight="false" outlineLevel="0" collapsed="false">
      <c r="A697" s="12" t="s">
        <v>109</v>
      </c>
      <c r="B697" s="12" t="s">
        <v>1500</v>
      </c>
      <c r="C697" s="12" t="s">
        <v>282</v>
      </c>
      <c r="D697" s="12" t="s">
        <v>283</v>
      </c>
      <c r="E697" s="12" t="s">
        <v>1671</v>
      </c>
      <c r="F697" s="12" t="s">
        <v>1672</v>
      </c>
      <c r="G697" s="12" t="s">
        <v>293</v>
      </c>
      <c r="H697" s="12" t="s">
        <v>287</v>
      </c>
      <c r="I697" s="12" t="s">
        <v>288</v>
      </c>
    </row>
    <row r="698" customFormat="false" ht="23.85" hidden="false" customHeight="false" outlineLevel="0" collapsed="false">
      <c r="A698" s="12" t="s">
        <v>109</v>
      </c>
      <c r="B698" s="12" t="s">
        <v>1500</v>
      </c>
      <c r="C698" s="12" t="s">
        <v>282</v>
      </c>
      <c r="D698" s="12" t="s">
        <v>283</v>
      </c>
      <c r="E698" s="12" t="s">
        <v>1673</v>
      </c>
      <c r="F698" s="12" t="s">
        <v>1674</v>
      </c>
      <c r="G698" s="12" t="s">
        <v>286</v>
      </c>
      <c r="H698" s="12" t="s">
        <v>287</v>
      </c>
      <c r="I698" s="12" t="s">
        <v>288</v>
      </c>
    </row>
    <row r="699" customFormat="false" ht="23.85" hidden="false" customHeight="false" outlineLevel="0" collapsed="false">
      <c r="A699" s="12" t="s">
        <v>109</v>
      </c>
      <c r="B699" s="12" t="s">
        <v>1500</v>
      </c>
      <c r="C699" s="12" t="s">
        <v>282</v>
      </c>
      <c r="D699" s="12" t="s">
        <v>283</v>
      </c>
      <c r="E699" s="12" t="s">
        <v>1675</v>
      </c>
      <c r="F699" s="12" t="s">
        <v>1676</v>
      </c>
      <c r="G699" s="12" t="s">
        <v>293</v>
      </c>
      <c r="H699" s="12" t="s">
        <v>287</v>
      </c>
      <c r="I699" s="12" t="s">
        <v>288</v>
      </c>
    </row>
    <row r="700" customFormat="false" ht="23.85" hidden="false" customHeight="false" outlineLevel="0" collapsed="false">
      <c r="A700" s="12" t="s">
        <v>109</v>
      </c>
      <c r="B700" s="12" t="s">
        <v>1500</v>
      </c>
      <c r="C700" s="12" t="s">
        <v>282</v>
      </c>
      <c r="D700" s="12" t="s">
        <v>283</v>
      </c>
      <c r="E700" s="12" t="s">
        <v>1677</v>
      </c>
      <c r="F700" s="12" t="s">
        <v>1678</v>
      </c>
      <c r="G700" s="12" t="s">
        <v>293</v>
      </c>
      <c r="H700" s="12" t="s">
        <v>287</v>
      </c>
      <c r="I700" s="12" t="s">
        <v>288</v>
      </c>
    </row>
    <row r="701" customFormat="false" ht="23.85" hidden="false" customHeight="false" outlineLevel="0" collapsed="false">
      <c r="A701" s="12" t="s">
        <v>109</v>
      </c>
      <c r="B701" s="12" t="s">
        <v>1500</v>
      </c>
      <c r="C701" s="12" t="s">
        <v>282</v>
      </c>
      <c r="D701" s="12" t="s">
        <v>283</v>
      </c>
      <c r="E701" s="12" t="s">
        <v>1679</v>
      </c>
      <c r="F701" s="12" t="s">
        <v>1680</v>
      </c>
      <c r="G701" s="12" t="s">
        <v>293</v>
      </c>
      <c r="H701" s="12" t="s">
        <v>287</v>
      </c>
      <c r="I701" s="12" t="s">
        <v>288</v>
      </c>
    </row>
    <row r="702" customFormat="false" ht="23.85" hidden="false" customHeight="false" outlineLevel="0" collapsed="false">
      <c r="A702" s="12" t="s">
        <v>109</v>
      </c>
      <c r="B702" s="12" t="s">
        <v>1500</v>
      </c>
      <c r="C702" s="12" t="s">
        <v>282</v>
      </c>
      <c r="D702" s="12" t="s">
        <v>283</v>
      </c>
      <c r="E702" s="12" t="s">
        <v>1681</v>
      </c>
      <c r="F702" s="12" t="s">
        <v>1682</v>
      </c>
      <c r="G702" s="12" t="s">
        <v>293</v>
      </c>
      <c r="H702" s="12" t="s">
        <v>287</v>
      </c>
      <c r="I702" s="12" t="s">
        <v>288</v>
      </c>
    </row>
    <row r="703" customFormat="false" ht="23.85" hidden="false" customHeight="false" outlineLevel="0" collapsed="false">
      <c r="A703" s="12" t="s">
        <v>109</v>
      </c>
      <c r="B703" s="12" t="s">
        <v>1500</v>
      </c>
      <c r="C703" s="12" t="s">
        <v>282</v>
      </c>
      <c r="D703" s="12" t="s">
        <v>283</v>
      </c>
      <c r="E703" s="12" t="s">
        <v>1683</v>
      </c>
      <c r="F703" s="12" t="s">
        <v>1684</v>
      </c>
      <c r="G703" s="12" t="s">
        <v>293</v>
      </c>
      <c r="H703" s="12" t="s">
        <v>287</v>
      </c>
      <c r="I703" s="12" t="s">
        <v>288</v>
      </c>
    </row>
    <row r="704" customFormat="false" ht="23.85" hidden="false" customHeight="false" outlineLevel="0" collapsed="false">
      <c r="A704" s="12" t="s">
        <v>109</v>
      </c>
      <c r="B704" s="12" t="s">
        <v>1500</v>
      </c>
      <c r="C704" s="12" t="s">
        <v>282</v>
      </c>
      <c r="D704" s="12" t="s">
        <v>283</v>
      </c>
      <c r="E704" s="12" t="s">
        <v>1685</v>
      </c>
      <c r="F704" s="12" t="s">
        <v>1686</v>
      </c>
      <c r="G704" s="12" t="s">
        <v>293</v>
      </c>
      <c r="H704" s="12" t="s">
        <v>287</v>
      </c>
      <c r="I704" s="12" t="s">
        <v>288</v>
      </c>
    </row>
    <row r="705" customFormat="false" ht="23.85" hidden="false" customHeight="false" outlineLevel="0" collapsed="false">
      <c r="A705" s="12" t="s">
        <v>109</v>
      </c>
      <c r="B705" s="12" t="s">
        <v>1500</v>
      </c>
      <c r="C705" s="12" t="s">
        <v>282</v>
      </c>
      <c r="D705" s="12" t="s">
        <v>283</v>
      </c>
      <c r="E705" s="12" t="s">
        <v>1687</v>
      </c>
      <c r="F705" s="12" t="s">
        <v>1688</v>
      </c>
      <c r="G705" s="12" t="s">
        <v>286</v>
      </c>
      <c r="H705" s="12" t="s">
        <v>287</v>
      </c>
      <c r="I705" s="12" t="s">
        <v>288</v>
      </c>
    </row>
    <row r="706" customFormat="false" ht="23.85" hidden="false" customHeight="false" outlineLevel="0" collapsed="false">
      <c r="A706" s="12" t="s">
        <v>109</v>
      </c>
      <c r="B706" s="12" t="s">
        <v>1500</v>
      </c>
      <c r="C706" s="12" t="s">
        <v>282</v>
      </c>
      <c r="D706" s="12" t="s">
        <v>283</v>
      </c>
      <c r="E706" s="12" t="s">
        <v>1689</v>
      </c>
      <c r="F706" s="12" t="s">
        <v>1690</v>
      </c>
      <c r="G706" s="12" t="s">
        <v>293</v>
      </c>
      <c r="H706" s="12" t="s">
        <v>287</v>
      </c>
      <c r="I706" s="12" t="s">
        <v>288</v>
      </c>
    </row>
    <row r="707" customFormat="false" ht="23.85" hidden="false" customHeight="false" outlineLevel="0" collapsed="false">
      <c r="A707" s="12" t="s">
        <v>109</v>
      </c>
      <c r="B707" s="12" t="s">
        <v>1500</v>
      </c>
      <c r="C707" s="12" t="s">
        <v>282</v>
      </c>
      <c r="D707" s="12" t="s">
        <v>283</v>
      </c>
      <c r="E707" s="12" t="s">
        <v>1691</v>
      </c>
      <c r="F707" s="12" t="s">
        <v>1692</v>
      </c>
      <c r="G707" s="12" t="s">
        <v>293</v>
      </c>
      <c r="H707" s="12" t="s">
        <v>287</v>
      </c>
      <c r="I707" s="12" t="s">
        <v>288</v>
      </c>
    </row>
    <row r="708" customFormat="false" ht="23.85" hidden="false" customHeight="false" outlineLevel="0" collapsed="false">
      <c r="A708" s="12" t="s">
        <v>109</v>
      </c>
      <c r="B708" s="12" t="s">
        <v>1500</v>
      </c>
      <c r="C708" s="12" t="s">
        <v>282</v>
      </c>
      <c r="D708" s="12" t="s">
        <v>283</v>
      </c>
      <c r="E708" s="12" t="s">
        <v>1693</v>
      </c>
      <c r="F708" s="12" t="s">
        <v>1694</v>
      </c>
      <c r="G708" s="12" t="s">
        <v>293</v>
      </c>
      <c r="H708" s="12" t="s">
        <v>287</v>
      </c>
      <c r="I708" s="12" t="s">
        <v>288</v>
      </c>
    </row>
    <row r="709" customFormat="false" ht="23.85" hidden="false" customHeight="false" outlineLevel="0" collapsed="false">
      <c r="A709" s="12" t="s">
        <v>109</v>
      </c>
      <c r="B709" s="12" t="s">
        <v>1500</v>
      </c>
      <c r="C709" s="12" t="s">
        <v>282</v>
      </c>
      <c r="D709" s="12" t="s">
        <v>283</v>
      </c>
      <c r="E709" s="12" t="s">
        <v>1695</v>
      </c>
      <c r="F709" s="12" t="s">
        <v>1696</v>
      </c>
      <c r="G709" s="12" t="s">
        <v>286</v>
      </c>
      <c r="H709" s="12" t="s">
        <v>287</v>
      </c>
      <c r="I709" s="12" t="s">
        <v>288</v>
      </c>
    </row>
    <row r="710" customFormat="false" ht="23.85" hidden="false" customHeight="false" outlineLevel="0" collapsed="false">
      <c r="A710" s="12" t="s">
        <v>109</v>
      </c>
      <c r="B710" s="12" t="s">
        <v>1500</v>
      </c>
      <c r="C710" s="12" t="s">
        <v>282</v>
      </c>
      <c r="D710" s="12" t="s">
        <v>283</v>
      </c>
      <c r="E710" s="12" t="s">
        <v>1697</v>
      </c>
      <c r="F710" s="12" t="s">
        <v>1698</v>
      </c>
      <c r="G710" s="12" t="s">
        <v>286</v>
      </c>
      <c r="H710" s="12" t="s">
        <v>287</v>
      </c>
      <c r="I710" s="12" t="s">
        <v>288</v>
      </c>
    </row>
    <row r="711" customFormat="false" ht="23.85" hidden="false" customHeight="false" outlineLevel="0" collapsed="false">
      <c r="A711" s="12" t="s">
        <v>109</v>
      </c>
      <c r="B711" s="12" t="s">
        <v>1500</v>
      </c>
      <c r="C711" s="12" t="s">
        <v>282</v>
      </c>
      <c r="D711" s="12" t="s">
        <v>283</v>
      </c>
      <c r="E711" s="12" t="s">
        <v>1699</v>
      </c>
      <c r="F711" s="12" t="s">
        <v>1700</v>
      </c>
      <c r="G711" s="12" t="s">
        <v>293</v>
      </c>
      <c r="H711" s="12" t="s">
        <v>287</v>
      </c>
      <c r="I711" s="12" t="s">
        <v>288</v>
      </c>
    </row>
    <row r="712" customFormat="false" ht="23.85" hidden="false" customHeight="false" outlineLevel="0" collapsed="false">
      <c r="A712" s="12" t="s">
        <v>109</v>
      </c>
      <c r="B712" s="12" t="s">
        <v>1500</v>
      </c>
      <c r="C712" s="12" t="s">
        <v>282</v>
      </c>
      <c r="D712" s="12" t="s">
        <v>283</v>
      </c>
      <c r="E712" s="12" t="s">
        <v>1701</v>
      </c>
      <c r="F712" s="12" t="s">
        <v>1702</v>
      </c>
      <c r="G712" s="12" t="s">
        <v>293</v>
      </c>
      <c r="H712" s="12" t="s">
        <v>287</v>
      </c>
      <c r="I712" s="12" t="s">
        <v>288</v>
      </c>
    </row>
    <row r="713" customFormat="false" ht="23.85" hidden="false" customHeight="false" outlineLevel="0" collapsed="false">
      <c r="A713" s="12" t="s">
        <v>109</v>
      </c>
      <c r="B713" s="12" t="s">
        <v>1500</v>
      </c>
      <c r="C713" s="12" t="s">
        <v>282</v>
      </c>
      <c r="D713" s="12" t="s">
        <v>283</v>
      </c>
      <c r="E713" s="12" t="s">
        <v>1703</v>
      </c>
      <c r="F713" s="12" t="s">
        <v>1704</v>
      </c>
      <c r="G713" s="12" t="s">
        <v>286</v>
      </c>
      <c r="H713" s="12" t="s">
        <v>287</v>
      </c>
      <c r="I713" s="12" t="s">
        <v>288</v>
      </c>
    </row>
    <row r="714" customFormat="false" ht="23.85" hidden="false" customHeight="false" outlineLevel="0" collapsed="false">
      <c r="A714" s="12" t="s">
        <v>109</v>
      </c>
      <c r="B714" s="12" t="s">
        <v>1500</v>
      </c>
      <c r="C714" s="12" t="s">
        <v>282</v>
      </c>
      <c r="D714" s="12" t="s">
        <v>283</v>
      </c>
      <c r="E714" s="12" t="s">
        <v>1705</v>
      </c>
      <c r="F714" s="12" t="s">
        <v>1706</v>
      </c>
      <c r="G714" s="12" t="s">
        <v>293</v>
      </c>
      <c r="H714" s="12" t="s">
        <v>287</v>
      </c>
      <c r="I714" s="12" t="s">
        <v>288</v>
      </c>
    </row>
    <row r="715" customFormat="false" ht="23.85" hidden="false" customHeight="false" outlineLevel="0" collapsed="false">
      <c r="A715" s="12" t="s">
        <v>109</v>
      </c>
      <c r="B715" s="12" t="s">
        <v>1500</v>
      </c>
      <c r="C715" s="12" t="s">
        <v>282</v>
      </c>
      <c r="D715" s="12" t="s">
        <v>283</v>
      </c>
      <c r="E715" s="12" t="s">
        <v>1707</v>
      </c>
      <c r="F715" s="12" t="s">
        <v>1708</v>
      </c>
      <c r="G715" s="12" t="s">
        <v>293</v>
      </c>
      <c r="H715" s="12" t="s">
        <v>287</v>
      </c>
      <c r="I715" s="12" t="s">
        <v>288</v>
      </c>
    </row>
    <row r="716" customFormat="false" ht="23.85" hidden="false" customHeight="false" outlineLevel="0" collapsed="false">
      <c r="A716" s="12" t="s">
        <v>109</v>
      </c>
      <c r="B716" s="12" t="s">
        <v>1500</v>
      </c>
      <c r="C716" s="12" t="s">
        <v>282</v>
      </c>
      <c r="D716" s="12" t="s">
        <v>283</v>
      </c>
      <c r="E716" s="12" t="s">
        <v>1709</v>
      </c>
      <c r="F716" s="12" t="s">
        <v>1710</v>
      </c>
      <c r="G716" s="12" t="s">
        <v>293</v>
      </c>
      <c r="H716" s="12" t="s">
        <v>287</v>
      </c>
      <c r="I716" s="12" t="s">
        <v>288</v>
      </c>
    </row>
    <row r="717" customFormat="false" ht="23.85" hidden="false" customHeight="false" outlineLevel="0" collapsed="false">
      <c r="A717" s="12" t="s">
        <v>109</v>
      </c>
      <c r="B717" s="12" t="s">
        <v>1500</v>
      </c>
      <c r="C717" s="12" t="s">
        <v>282</v>
      </c>
      <c r="D717" s="12" t="s">
        <v>283</v>
      </c>
      <c r="E717" s="12" t="s">
        <v>1711</v>
      </c>
      <c r="F717" s="12" t="s">
        <v>1712</v>
      </c>
      <c r="G717" s="12" t="s">
        <v>293</v>
      </c>
      <c r="H717" s="12" t="s">
        <v>287</v>
      </c>
      <c r="I717" s="12" t="s">
        <v>288</v>
      </c>
    </row>
    <row r="718" customFormat="false" ht="23.85" hidden="false" customHeight="false" outlineLevel="0" collapsed="false">
      <c r="A718" s="12" t="s">
        <v>109</v>
      </c>
      <c r="B718" s="12" t="s">
        <v>1500</v>
      </c>
      <c r="C718" s="12" t="s">
        <v>282</v>
      </c>
      <c r="D718" s="12" t="s">
        <v>283</v>
      </c>
      <c r="E718" s="12" t="s">
        <v>1713</v>
      </c>
      <c r="F718" s="12" t="s">
        <v>1714</v>
      </c>
      <c r="G718" s="12" t="s">
        <v>286</v>
      </c>
      <c r="H718" s="12" t="s">
        <v>287</v>
      </c>
      <c r="I718" s="12" t="s">
        <v>288</v>
      </c>
    </row>
    <row r="719" customFormat="false" ht="23.85" hidden="false" customHeight="false" outlineLevel="0" collapsed="false">
      <c r="A719" s="12" t="s">
        <v>109</v>
      </c>
      <c r="B719" s="12" t="s">
        <v>1500</v>
      </c>
      <c r="C719" s="12" t="s">
        <v>282</v>
      </c>
      <c r="D719" s="12" t="s">
        <v>283</v>
      </c>
      <c r="E719" s="12" t="s">
        <v>1715</v>
      </c>
      <c r="F719" s="12" t="s">
        <v>1716</v>
      </c>
      <c r="G719" s="12" t="s">
        <v>293</v>
      </c>
      <c r="H719" s="12" t="s">
        <v>287</v>
      </c>
      <c r="I719" s="12" t="s">
        <v>288</v>
      </c>
    </row>
    <row r="720" customFormat="false" ht="23.85" hidden="false" customHeight="false" outlineLevel="0" collapsed="false">
      <c r="A720" s="12" t="s">
        <v>109</v>
      </c>
      <c r="B720" s="12" t="s">
        <v>1500</v>
      </c>
      <c r="C720" s="12" t="s">
        <v>282</v>
      </c>
      <c r="D720" s="12" t="s">
        <v>283</v>
      </c>
      <c r="E720" s="12" t="s">
        <v>1717</v>
      </c>
      <c r="F720" s="12" t="s">
        <v>1718</v>
      </c>
      <c r="G720" s="12" t="s">
        <v>293</v>
      </c>
      <c r="H720" s="12" t="s">
        <v>287</v>
      </c>
      <c r="I720" s="12" t="s">
        <v>288</v>
      </c>
    </row>
    <row r="721" customFormat="false" ht="23.85" hidden="false" customHeight="false" outlineLevel="0" collapsed="false">
      <c r="A721" s="12" t="s">
        <v>109</v>
      </c>
      <c r="B721" s="12" t="s">
        <v>1500</v>
      </c>
      <c r="C721" s="12" t="s">
        <v>282</v>
      </c>
      <c r="D721" s="12" t="s">
        <v>283</v>
      </c>
      <c r="E721" s="12" t="s">
        <v>1719</v>
      </c>
      <c r="F721" s="12" t="s">
        <v>1720</v>
      </c>
      <c r="G721" s="12" t="s">
        <v>286</v>
      </c>
      <c r="H721" s="12" t="s">
        <v>287</v>
      </c>
      <c r="I721" s="12" t="s">
        <v>288</v>
      </c>
    </row>
    <row r="722" customFormat="false" ht="23.85" hidden="false" customHeight="false" outlineLevel="0" collapsed="false">
      <c r="A722" s="12" t="s">
        <v>109</v>
      </c>
      <c r="B722" s="12" t="s">
        <v>1500</v>
      </c>
      <c r="C722" s="12" t="s">
        <v>282</v>
      </c>
      <c r="D722" s="12" t="s">
        <v>283</v>
      </c>
      <c r="E722" s="12" t="s">
        <v>1721</v>
      </c>
      <c r="F722" s="12" t="s">
        <v>1722</v>
      </c>
      <c r="G722" s="12" t="s">
        <v>293</v>
      </c>
      <c r="H722" s="12" t="s">
        <v>287</v>
      </c>
      <c r="I722" s="12" t="s">
        <v>288</v>
      </c>
    </row>
    <row r="723" customFormat="false" ht="23.85" hidden="false" customHeight="false" outlineLevel="0" collapsed="false">
      <c r="A723" s="12" t="s">
        <v>109</v>
      </c>
      <c r="B723" s="12" t="s">
        <v>1500</v>
      </c>
      <c r="C723" s="12" t="s">
        <v>282</v>
      </c>
      <c r="D723" s="12" t="s">
        <v>283</v>
      </c>
      <c r="E723" s="12" t="s">
        <v>1723</v>
      </c>
      <c r="F723" s="12" t="s">
        <v>1724</v>
      </c>
      <c r="G723" s="12" t="s">
        <v>293</v>
      </c>
      <c r="H723" s="12" t="s">
        <v>287</v>
      </c>
      <c r="I723" s="12" t="s">
        <v>288</v>
      </c>
    </row>
    <row r="724" customFormat="false" ht="23.85" hidden="false" customHeight="false" outlineLevel="0" collapsed="false">
      <c r="A724" s="12" t="s">
        <v>109</v>
      </c>
      <c r="B724" s="12" t="s">
        <v>1500</v>
      </c>
      <c r="C724" s="12" t="s">
        <v>282</v>
      </c>
      <c r="D724" s="12" t="s">
        <v>283</v>
      </c>
      <c r="E724" s="12" t="s">
        <v>1725</v>
      </c>
      <c r="F724" s="12" t="s">
        <v>1726</v>
      </c>
      <c r="G724" s="12" t="s">
        <v>293</v>
      </c>
      <c r="H724" s="12" t="s">
        <v>287</v>
      </c>
      <c r="I724" s="12" t="s">
        <v>288</v>
      </c>
    </row>
    <row r="725" customFormat="false" ht="23.85" hidden="false" customHeight="false" outlineLevel="0" collapsed="false">
      <c r="A725" s="12" t="s">
        <v>109</v>
      </c>
      <c r="B725" s="12" t="s">
        <v>1500</v>
      </c>
      <c r="C725" s="12" t="s">
        <v>282</v>
      </c>
      <c r="D725" s="12" t="s">
        <v>283</v>
      </c>
      <c r="E725" s="12" t="s">
        <v>1727</v>
      </c>
      <c r="F725" s="12" t="s">
        <v>1728</v>
      </c>
      <c r="G725" s="12" t="s">
        <v>293</v>
      </c>
      <c r="H725" s="12" t="s">
        <v>287</v>
      </c>
      <c r="I725" s="12" t="s">
        <v>288</v>
      </c>
    </row>
    <row r="726" customFormat="false" ht="23.85" hidden="false" customHeight="false" outlineLevel="0" collapsed="false">
      <c r="A726" s="12" t="s">
        <v>109</v>
      </c>
      <c r="B726" s="12" t="s">
        <v>1500</v>
      </c>
      <c r="C726" s="12" t="s">
        <v>282</v>
      </c>
      <c r="D726" s="12" t="s">
        <v>283</v>
      </c>
      <c r="E726" s="12" t="s">
        <v>1729</v>
      </c>
      <c r="F726" s="12" t="s">
        <v>1730</v>
      </c>
      <c r="G726" s="12" t="s">
        <v>293</v>
      </c>
      <c r="H726" s="12" t="s">
        <v>287</v>
      </c>
      <c r="I726" s="12" t="s">
        <v>288</v>
      </c>
    </row>
    <row r="727" customFormat="false" ht="23.85" hidden="false" customHeight="false" outlineLevel="0" collapsed="false">
      <c r="A727" s="12" t="s">
        <v>109</v>
      </c>
      <c r="B727" s="12" t="s">
        <v>1500</v>
      </c>
      <c r="C727" s="12" t="s">
        <v>282</v>
      </c>
      <c r="D727" s="12" t="s">
        <v>283</v>
      </c>
      <c r="E727" s="12" t="s">
        <v>1731</v>
      </c>
      <c r="F727" s="12" t="s">
        <v>1732</v>
      </c>
      <c r="G727" s="12" t="s">
        <v>293</v>
      </c>
      <c r="H727" s="12" t="s">
        <v>287</v>
      </c>
      <c r="I727" s="12" t="s">
        <v>288</v>
      </c>
    </row>
    <row r="728" customFormat="false" ht="23.85" hidden="false" customHeight="false" outlineLevel="0" collapsed="false">
      <c r="A728" s="12" t="s">
        <v>109</v>
      </c>
      <c r="B728" s="12" t="s">
        <v>1500</v>
      </c>
      <c r="C728" s="12" t="s">
        <v>282</v>
      </c>
      <c r="D728" s="12" t="s">
        <v>283</v>
      </c>
      <c r="E728" s="12" t="s">
        <v>1733</v>
      </c>
      <c r="F728" s="12" t="s">
        <v>1734</v>
      </c>
      <c r="G728" s="12" t="s">
        <v>293</v>
      </c>
      <c r="H728" s="12" t="s">
        <v>287</v>
      </c>
      <c r="I728" s="12" t="s">
        <v>288</v>
      </c>
    </row>
    <row r="729" customFormat="false" ht="23.85" hidden="false" customHeight="false" outlineLevel="0" collapsed="false">
      <c r="A729" s="12" t="s">
        <v>109</v>
      </c>
      <c r="B729" s="12" t="s">
        <v>1500</v>
      </c>
      <c r="C729" s="12" t="s">
        <v>282</v>
      </c>
      <c r="D729" s="12" t="s">
        <v>338</v>
      </c>
      <c r="E729" s="12" t="s">
        <v>1735</v>
      </c>
      <c r="F729" s="12" t="s">
        <v>1736</v>
      </c>
      <c r="G729" s="12" t="s">
        <v>293</v>
      </c>
      <c r="H729" s="12" t="s">
        <v>287</v>
      </c>
      <c r="I729" s="12" t="s">
        <v>288</v>
      </c>
    </row>
    <row r="730" customFormat="false" ht="23.85" hidden="false" customHeight="false" outlineLevel="0" collapsed="false">
      <c r="A730" s="12" t="s">
        <v>109</v>
      </c>
      <c r="B730" s="12" t="s">
        <v>1500</v>
      </c>
      <c r="C730" s="12" t="s">
        <v>282</v>
      </c>
      <c r="D730" s="12" t="s">
        <v>338</v>
      </c>
      <c r="E730" s="12" t="s">
        <v>1737</v>
      </c>
      <c r="F730" s="12" t="s">
        <v>1738</v>
      </c>
      <c r="G730" s="12" t="s">
        <v>293</v>
      </c>
      <c r="H730" s="12" t="s">
        <v>287</v>
      </c>
      <c r="I730" s="12" t="s">
        <v>288</v>
      </c>
    </row>
    <row r="731" customFormat="false" ht="23.85" hidden="false" customHeight="false" outlineLevel="0" collapsed="false">
      <c r="A731" s="12" t="s">
        <v>109</v>
      </c>
      <c r="B731" s="12" t="s">
        <v>1500</v>
      </c>
      <c r="C731" s="12" t="s">
        <v>282</v>
      </c>
      <c r="D731" s="12" t="s">
        <v>338</v>
      </c>
      <c r="E731" s="12" t="s">
        <v>1739</v>
      </c>
      <c r="F731" s="12" t="s">
        <v>1740</v>
      </c>
      <c r="G731" s="12" t="s">
        <v>293</v>
      </c>
      <c r="H731" s="12" t="s">
        <v>287</v>
      </c>
      <c r="I731" s="12" t="s">
        <v>288</v>
      </c>
    </row>
    <row r="732" customFormat="false" ht="23.85" hidden="false" customHeight="false" outlineLevel="0" collapsed="false">
      <c r="A732" s="12" t="s">
        <v>109</v>
      </c>
      <c r="B732" s="12" t="s">
        <v>1500</v>
      </c>
      <c r="C732" s="12" t="s">
        <v>282</v>
      </c>
      <c r="D732" s="12" t="s">
        <v>338</v>
      </c>
      <c r="E732" s="12" t="s">
        <v>1741</v>
      </c>
      <c r="F732" s="12" t="s">
        <v>1742</v>
      </c>
      <c r="G732" s="12" t="s">
        <v>293</v>
      </c>
      <c r="H732" s="12" t="s">
        <v>287</v>
      </c>
      <c r="I732" s="12" t="s">
        <v>288</v>
      </c>
    </row>
    <row r="733" customFormat="false" ht="23.85" hidden="false" customHeight="false" outlineLevel="0" collapsed="false">
      <c r="A733" s="12" t="s">
        <v>109</v>
      </c>
      <c r="B733" s="12" t="s">
        <v>1500</v>
      </c>
      <c r="C733" s="12" t="s">
        <v>282</v>
      </c>
      <c r="D733" s="12" t="s">
        <v>338</v>
      </c>
      <c r="E733" s="12" t="s">
        <v>1743</v>
      </c>
      <c r="F733" s="12" t="s">
        <v>1744</v>
      </c>
      <c r="G733" s="12" t="s">
        <v>293</v>
      </c>
      <c r="H733" s="12" t="s">
        <v>287</v>
      </c>
      <c r="I733" s="12" t="s">
        <v>288</v>
      </c>
    </row>
    <row r="734" customFormat="false" ht="23.85" hidden="false" customHeight="false" outlineLevel="0" collapsed="false">
      <c r="A734" s="12" t="s">
        <v>109</v>
      </c>
      <c r="B734" s="12" t="s">
        <v>1500</v>
      </c>
      <c r="C734" s="12" t="s">
        <v>282</v>
      </c>
      <c r="D734" s="12" t="s">
        <v>338</v>
      </c>
      <c r="E734" s="12" t="s">
        <v>1745</v>
      </c>
      <c r="F734" s="12" t="s">
        <v>1746</v>
      </c>
      <c r="G734" s="12" t="s">
        <v>293</v>
      </c>
      <c r="H734" s="12" t="s">
        <v>287</v>
      </c>
      <c r="I734" s="12" t="s">
        <v>288</v>
      </c>
    </row>
    <row r="735" customFormat="false" ht="23.85" hidden="false" customHeight="false" outlineLevel="0" collapsed="false">
      <c r="A735" s="12" t="s">
        <v>109</v>
      </c>
      <c r="B735" s="12" t="s">
        <v>1500</v>
      </c>
      <c r="C735" s="12" t="s">
        <v>282</v>
      </c>
      <c r="D735" s="12" t="s">
        <v>338</v>
      </c>
      <c r="E735" s="12" t="s">
        <v>1747</v>
      </c>
      <c r="F735" s="12" t="s">
        <v>1748</v>
      </c>
      <c r="G735" s="12" t="s">
        <v>293</v>
      </c>
      <c r="H735" s="12" t="s">
        <v>287</v>
      </c>
      <c r="I735" s="12" t="s">
        <v>288</v>
      </c>
    </row>
    <row r="736" customFormat="false" ht="23.85" hidden="false" customHeight="false" outlineLevel="0" collapsed="false">
      <c r="A736" s="12" t="s">
        <v>109</v>
      </c>
      <c r="B736" s="12" t="s">
        <v>1500</v>
      </c>
      <c r="C736" s="12" t="s">
        <v>282</v>
      </c>
      <c r="D736" s="12" t="s">
        <v>338</v>
      </c>
      <c r="E736" s="12" t="s">
        <v>1749</v>
      </c>
      <c r="F736" s="12" t="s">
        <v>1750</v>
      </c>
      <c r="G736" s="12" t="s">
        <v>293</v>
      </c>
      <c r="H736" s="12" t="s">
        <v>287</v>
      </c>
      <c r="I736" s="12" t="s">
        <v>288</v>
      </c>
    </row>
    <row r="737" customFormat="false" ht="23.85" hidden="false" customHeight="false" outlineLevel="0" collapsed="false">
      <c r="A737" s="12" t="s">
        <v>109</v>
      </c>
      <c r="B737" s="12" t="s">
        <v>1500</v>
      </c>
      <c r="C737" s="12" t="s">
        <v>282</v>
      </c>
      <c r="D737" s="12" t="s">
        <v>338</v>
      </c>
      <c r="E737" s="12" t="s">
        <v>1751</v>
      </c>
      <c r="F737" s="12" t="s">
        <v>1752</v>
      </c>
      <c r="G737" s="12" t="s">
        <v>293</v>
      </c>
      <c r="H737" s="12" t="s">
        <v>287</v>
      </c>
      <c r="I737" s="12" t="s">
        <v>288</v>
      </c>
    </row>
    <row r="738" customFormat="false" ht="23.85" hidden="false" customHeight="false" outlineLevel="0" collapsed="false">
      <c r="A738" s="12" t="s">
        <v>109</v>
      </c>
      <c r="B738" s="12" t="s">
        <v>1500</v>
      </c>
      <c r="C738" s="12" t="s">
        <v>282</v>
      </c>
      <c r="D738" s="12" t="s">
        <v>338</v>
      </c>
      <c r="E738" s="12" t="s">
        <v>1753</v>
      </c>
      <c r="F738" s="12" t="s">
        <v>1754</v>
      </c>
      <c r="G738" s="12" t="s">
        <v>293</v>
      </c>
      <c r="H738" s="12" t="s">
        <v>287</v>
      </c>
      <c r="I738" s="12" t="s">
        <v>288</v>
      </c>
    </row>
    <row r="739" customFormat="false" ht="23.85" hidden="false" customHeight="false" outlineLevel="0" collapsed="false">
      <c r="A739" s="12" t="s">
        <v>109</v>
      </c>
      <c r="B739" s="12" t="s">
        <v>1500</v>
      </c>
      <c r="C739" s="12" t="s">
        <v>282</v>
      </c>
      <c r="D739" s="12" t="s">
        <v>338</v>
      </c>
      <c r="E739" s="12" t="s">
        <v>1755</v>
      </c>
      <c r="F739" s="12" t="s">
        <v>1756</v>
      </c>
      <c r="G739" s="12" t="s">
        <v>293</v>
      </c>
      <c r="H739" s="12" t="s">
        <v>287</v>
      </c>
      <c r="I739" s="12" t="s">
        <v>288</v>
      </c>
    </row>
    <row r="740" customFormat="false" ht="23.85" hidden="false" customHeight="false" outlineLevel="0" collapsed="false">
      <c r="A740" s="12" t="s">
        <v>109</v>
      </c>
      <c r="B740" s="12" t="s">
        <v>1500</v>
      </c>
      <c r="C740" s="12" t="s">
        <v>282</v>
      </c>
      <c r="D740" s="12" t="s">
        <v>338</v>
      </c>
      <c r="E740" s="12" t="s">
        <v>1757</v>
      </c>
      <c r="F740" s="12" t="s">
        <v>1758</v>
      </c>
      <c r="G740" s="12" t="s">
        <v>293</v>
      </c>
      <c r="H740" s="12" t="s">
        <v>287</v>
      </c>
      <c r="I740" s="12" t="s">
        <v>288</v>
      </c>
    </row>
    <row r="741" customFormat="false" ht="23.85" hidden="false" customHeight="false" outlineLevel="0" collapsed="false">
      <c r="A741" s="12" t="s">
        <v>109</v>
      </c>
      <c r="B741" s="12" t="s">
        <v>1500</v>
      </c>
      <c r="C741" s="12" t="s">
        <v>282</v>
      </c>
      <c r="D741" s="12" t="s">
        <v>338</v>
      </c>
      <c r="E741" s="12" t="s">
        <v>1759</v>
      </c>
      <c r="F741" s="12" t="s">
        <v>1760</v>
      </c>
      <c r="G741" s="12" t="s">
        <v>293</v>
      </c>
      <c r="H741" s="12" t="s">
        <v>287</v>
      </c>
      <c r="I741" s="12" t="s">
        <v>288</v>
      </c>
    </row>
    <row r="742" customFormat="false" ht="23.85" hidden="false" customHeight="false" outlineLevel="0" collapsed="false">
      <c r="A742" s="12" t="s">
        <v>109</v>
      </c>
      <c r="B742" s="12" t="s">
        <v>1500</v>
      </c>
      <c r="C742" s="12" t="s">
        <v>282</v>
      </c>
      <c r="D742" s="12" t="s">
        <v>338</v>
      </c>
      <c r="E742" s="12" t="s">
        <v>1761</v>
      </c>
      <c r="F742" s="12" t="s">
        <v>1762</v>
      </c>
      <c r="G742" s="12" t="s">
        <v>293</v>
      </c>
      <c r="H742" s="12" t="s">
        <v>287</v>
      </c>
      <c r="I742" s="12" t="s">
        <v>288</v>
      </c>
    </row>
    <row r="743" customFormat="false" ht="23.85" hidden="false" customHeight="false" outlineLevel="0" collapsed="false">
      <c r="A743" s="12" t="s">
        <v>109</v>
      </c>
      <c r="B743" s="12" t="s">
        <v>1500</v>
      </c>
      <c r="C743" s="12" t="s">
        <v>282</v>
      </c>
      <c r="D743" s="12" t="s">
        <v>338</v>
      </c>
      <c r="E743" s="12" t="s">
        <v>1763</v>
      </c>
      <c r="F743" s="12" t="s">
        <v>1764</v>
      </c>
      <c r="G743" s="12" t="s">
        <v>293</v>
      </c>
      <c r="H743" s="12" t="s">
        <v>287</v>
      </c>
      <c r="I743" s="12" t="s">
        <v>288</v>
      </c>
    </row>
    <row r="744" customFormat="false" ht="23.85" hidden="false" customHeight="false" outlineLevel="0" collapsed="false">
      <c r="A744" s="12" t="s">
        <v>109</v>
      </c>
      <c r="B744" s="12" t="s">
        <v>1500</v>
      </c>
      <c r="C744" s="12" t="s">
        <v>282</v>
      </c>
      <c r="D744" s="12" t="s">
        <v>338</v>
      </c>
      <c r="E744" s="12" t="s">
        <v>1765</v>
      </c>
      <c r="F744" s="12" t="s">
        <v>1766</v>
      </c>
      <c r="G744" s="12" t="s">
        <v>293</v>
      </c>
      <c r="H744" s="12" t="s">
        <v>287</v>
      </c>
      <c r="I744" s="12" t="s">
        <v>288</v>
      </c>
    </row>
    <row r="745" customFormat="false" ht="23.85" hidden="false" customHeight="false" outlineLevel="0" collapsed="false">
      <c r="A745" s="12" t="s">
        <v>109</v>
      </c>
      <c r="B745" s="12" t="s">
        <v>1500</v>
      </c>
      <c r="C745" s="12" t="s">
        <v>282</v>
      </c>
      <c r="D745" s="12" t="s">
        <v>338</v>
      </c>
      <c r="E745" s="12" t="s">
        <v>1767</v>
      </c>
      <c r="F745" s="12" t="s">
        <v>1768</v>
      </c>
      <c r="G745" s="12" t="s">
        <v>293</v>
      </c>
      <c r="H745" s="12" t="s">
        <v>287</v>
      </c>
      <c r="I745" s="12" t="s">
        <v>288</v>
      </c>
    </row>
    <row r="746" customFormat="false" ht="23.85" hidden="false" customHeight="false" outlineLevel="0" collapsed="false">
      <c r="A746" s="12" t="s">
        <v>109</v>
      </c>
      <c r="B746" s="12" t="s">
        <v>1500</v>
      </c>
      <c r="C746" s="12" t="s">
        <v>282</v>
      </c>
      <c r="D746" s="12" t="s">
        <v>338</v>
      </c>
      <c r="E746" s="12" t="s">
        <v>1769</v>
      </c>
      <c r="F746" s="12" t="s">
        <v>1770</v>
      </c>
      <c r="G746" s="12" t="s">
        <v>293</v>
      </c>
      <c r="H746" s="12" t="s">
        <v>287</v>
      </c>
      <c r="I746" s="12" t="s">
        <v>288</v>
      </c>
    </row>
    <row r="747" customFormat="false" ht="23.85" hidden="false" customHeight="false" outlineLevel="0" collapsed="false">
      <c r="A747" s="12" t="s">
        <v>109</v>
      </c>
      <c r="B747" s="12" t="s">
        <v>1500</v>
      </c>
      <c r="C747" s="12" t="s">
        <v>282</v>
      </c>
      <c r="D747" s="12" t="s">
        <v>338</v>
      </c>
      <c r="E747" s="12" t="s">
        <v>1771</v>
      </c>
      <c r="F747" s="12" t="s">
        <v>1772</v>
      </c>
      <c r="G747" s="12" t="s">
        <v>293</v>
      </c>
      <c r="H747" s="12" t="s">
        <v>287</v>
      </c>
      <c r="I747" s="12" t="s">
        <v>288</v>
      </c>
    </row>
    <row r="748" customFormat="false" ht="23.85" hidden="false" customHeight="false" outlineLevel="0" collapsed="false">
      <c r="A748" s="12" t="s">
        <v>109</v>
      </c>
      <c r="B748" s="12" t="s">
        <v>1500</v>
      </c>
      <c r="C748" s="12" t="s">
        <v>282</v>
      </c>
      <c r="D748" s="12" t="s">
        <v>338</v>
      </c>
      <c r="E748" s="12" t="s">
        <v>1773</v>
      </c>
      <c r="F748" s="12" t="s">
        <v>1774</v>
      </c>
      <c r="G748" s="12" t="s">
        <v>293</v>
      </c>
      <c r="H748" s="12" t="s">
        <v>287</v>
      </c>
      <c r="I748" s="12" t="s">
        <v>288</v>
      </c>
    </row>
    <row r="749" customFormat="false" ht="23.85" hidden="false" customHeight="false" outlineLevel="0" collapsed="false">
      <c r="A749" s="12" t="s">
        <v>109</v>
      </c>
      <c r="B749" s="12" t="s">
        <v>1775</v>
      </c>
      <c r="C749" s="12" t="s">
        <v>282</v>
      </c>
      <c r="D749" s="12" t="s">
        <v>283</v>
      </c>
      <c r="E749" s="12" t="s">
        <v>1776</v>
      </c>
      <c r="F749" s="12" t="s">
        <v>1777</v>
      </c>
      <c r="G749" s="12" t="s">
        <v>286</v>
      </c>
      <c r="H749" s="12" t="s">
        <v>287</v>
      </c>
      <c r="I749" s="12" t="s">
        <v>288</v>
      </c>
    </row>
    <row r="750" customFormat="false" ht="23.85" hidden="false" customHeight="false" outlineLevel="0" collapsed="false">
      <c r="A750" s="12" t="s">
        <v>109</v>
      </c>
      <c r="B750" s="12" t="s">
        <v>1775</v>
      </c>
      <c r="C750" s="12" t="s">
        <v>282</v>
      </c>
      <c r="D750" s="12" t="s">
        <v>283</v>
      </c>
      <c r="E750" s="12" t="s">
        <v>1778</v>
      </c>
      <c r="F750" s="12" t="s">
        <v>1779</v>
      </c>
      <c r="G750" s="12" t="s">
        <v>293</v>
      </c>
      <c r="H750" s="12" t="s">
        <v>287</v>
      </c>
      <c r="I750" s="12" t="s">
        <v>288</v>
      </c>
    </row>
    <row r="751" customFormat="false" ht="23.85" hidden="false" customHeight="false" outlineLevel="0" collapsed="false">
      <c r="A751" s="12" t="s">
        <v>109</v>
      </c>
      <c r="B751" s="12" t="s">
        <v>1775</v>
      </c>
      <c r="C751" s="12" t="s">
        <v>282</v>
      </c>
      <c r="D751" s="12" t="s">
        <v>283</v>
      </c>
      <c r="E751" s="12" t="s">
        <v>1780</v>
      </c>
      <c r="F751" s="12" t="s">
        <v>1781</v>
      </c>
      <c r="G751" s="12" t="s">
        <v>293</v>
      </c>
      <c r="H751" s="12" t="s">
        <v>287</v>
      </c>
      <c r="I751" s="12" t="s">
        <v>288</v>
      </c>
    </row>
    <row r="752" customFormat="false" ht="23.85" hidden="false" customHeight="false" outlineLevel="0" collapsed="false">
      <c r="A752" s="12" t="s">
        <v>109</v>
      </c>
      <c r="B752" s="12" t="s">
        <v>1775</v>
      </c>
      <c r="C752" s="12" t="s">
        <v>282</v>
      </c>
      <c r="D752" s="12" t="s">
        <v>283</v>
      </c>
      <c r="E752" s="12" t="s">
        <v>1782</v>
      </c>
      <c r="F752" s="12" t="s">
        <v>1783</v>
      </c>
      <c r="G752" s="12" t="s">
        <v>293</v>
      </c>
      <c r="H752" s="12" t="s">
        <v>287</v>
      </c>
      <c r="I752" s="12" t="s">
        <v>288</v>
      </c>
    </row>
    <row r="753" customFormat="false" ht="23.85" hidden="false" customHeight="false" outlineLevel="0" collapsed="false">
      <c r="A753" s="12" t="s">
        <v>109</v>
      </c>
      <c r="B753" s="12" t="s">
        <v>1775</v>
      </c>
      <c r="C753" s="12" t="s">
        <v>282</v>
      </c>
      <c r="D753" s="12" t="s">
        <v>283</v>
      </c>
      <c r="E753" s="12" t="s">
        <v>1784</v>
      </c>
      <c r="F753" s="12" t="s">
        <v>1785</v>
      </c>
      <c r="G753" s="12" t="s">
        <v>293</v>
      </c>
      <c r="H753" s="12" t="s">
        <v>287</v>
      </c>
      <c r="I753" s="12" t="s">
        <v>288</v>
      </c>
    </row>
    <row r="754" customFormat="false" ht="23.85" hidden="false" customHeight="false" outlineLevel="0" collapsed="false">
      <c r="A754" s="12" t="s">
        <v>109</v>
      </c>
      <c r="B754" s="12" t="s">
        <v>1775</v>
      </c>
      <c r="C754" s="12" t="s">
        <v>282</v>
      </c>
      <c r="D754" s="12" t="s">
        <v>338</v>
      </c>
      <c r="E754" s="12" t="s">
        <v>1786</v>
      </c>
      <c r="F754" s="12" t="s">
        <v>1779</v>
      </c>
      <c r="G754" s="12" t="s">
        <v>293</v>
      </c>
      <c r="H754" s="12" t="s">
        <v>287</v>
      </c>
      <c r="I754" s="12" t="s">
        <v>288</v>
      </c>
    </row>
    <row r="755" customFormat="false" ht="23.85" hidden="false" customHeight="false" outlineLevel="0" collapsed="false">
      <c r="A755" s="12" t="s">
        <v>109</v>
      </c>
      <c r="B755" s="12" t="s">
        <v>1775</v>
      </c>
      <c r="C755" s="12" t="s">
        <v>282</v>
      </c>
      <c r="D755" s="12" t="s">
        <v>338</v>
      </c>
      <c r="E755" s="12" t="s">
        <v>1787</v>
      </c>
      <c r="F755" s="12" t="s">
        <v>1788</v>
      </c>
      <c r="G755" s="12" t="s">
        <v>293</v>
      </c>
      <c r="H755" s="12" t="s">
        <v>287</v>
      </c>
      <c r="I755" s="12" t="s">
        <v>288</v>
      </c>
    </row>
    <row r="756" customFormat="false" ht="23.85" hidden="false" customHeight="false" outlineLevel="0" collapsed="false">
      <c r="A756" s="12" t="s">
        <v>109</v>
      </c>
      <c r="B756" s="12" t="s">
        <v>1775</v>
      </c>
      <c r="C756" s="12" t="s">
        <v>282</v>
      </c>
      <c r="D756" s="12" t="s">
        <v>338</v>
      </c>
      <c r="E756" s="12" t="s">
        <v>1789</v>
      </c>
      <c r="F756" s="12" t="s">
        <v>1785</v>
      </c>
      <c r="G756" s="12" t="s">
        <v>293</v>
      </c>
      <c r="H756" s="12" t="s">
        <v>287</v>
      </c>
      <c r="I756" s="12" t="s">
        <v>288</v>
      </c>
    </row>
  </sheetData>
  <mergeCells count="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J3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1"/>
    <col collapsed="false" customWidth="true" hidden="false" outlineLevel="0" max="4" min="4" style="0" width="70"/>
    <col collapsed="false" customWidth="true" hidden="false" outlineLevel="0" max="5" min="5" style="0" width="22"/>
    <col collapsed="false" customWidth="true" hidden="false" outlineLevel="0" max="6" min="6" style="0" width="13"/>
    <col collapsed="false" customWidth="true" hidden="false" outlineLevel="0" max="7" min="7" style="0" width="9"/>
    <col collapsed="false" customWidth="true" hidden="false" outlineLevel="0" max="8" min="8" style="0" width="44"/>
    <col collapsed="false" customWidth="true" hidden="false" outlineLevel="0" max="9" min="9" style="0" width="20"/>
    <col collapsed="false" customWidth="true" hidden="false" outlineLevel="0" max="10" min="10" style="0" width="34"/>
  </cols>
  <sheetData>
    <row r="1" customFormat="false" ht="17.35" hidden="false" customHeight="false" outlineLevel="0" collapsed="false">
      <c r="A1" s="9" t="s">
        <v>1790</v>
      </c>
    </row>
    <row r="2" customFormat="false" ht="30" hidden="false" customHeight="true" outlineLevel="0" collapsed="false">
      <c r="A2" s="10" t="s">
        <v>1791</v>
      </c>
      <c r="B2" s="10"/>
      <c r="C2" s="10"/>
      <c r="D2" s="10"/>
      <c r="E2" s="10"/>
      <c r="F2" s="10"/>
      <c r="G2" s="10"/>
      <c r="H2" s="10"/>
      <c r="I2" s="10"/>
      <c r="J2" s="10"/>
    </row>
    <row r="4" customFormat="false" ht="23.85" hidden="false" customHeight="false" outlineLevel="0" collapsed="false">
      <c r="A4" s="11" t="s">
        <v>1792</v>
      </c>
      <c r="B4" s="11" t="s">
        <v>157</v>
      </c>
      <c r="C4" s="11" t="s">
        <v>158</v>
      </c>
      <c r="D4" s="11" t="s">
        <v>279</v>
      </c>
      <c r="E4" s="11" t="s">
        <v>280</v>
      </c>
      <c r="F4" s="11" t="s">
        <v>1793</v>
      </c>
      <c r="G4" s="11" t="s">
        <v>1794</v>
      </c>
      <c r="H4" s="11" t="s">
        <v>1795</v>
      </c>
      <c r="I4" s="11" t="s">
        <v>161</v>
      </c>
      <c r="J4" s="11" t="s">
        <v>162</v>
      </c>
    </row>
    <row r="5" customFormat="false" ht="35.05" hidden="false" customHeight="false" outlineLevel="0" collapsed="false">
      <c r="A5" s="12" t="s">
        <v>56</v>
      </c>
      <c r="B5" s="12" t="s">
        <v>283</v>
      </c>
      <c r="C5" s="12" t="s">
        <v>284</v>
      </c>
      <c r="D5" s="12" t="s">
        <v>285</v>
      </c>
      <c r="E5" s="12" t="s">
        <v>1796</v>
      </c>
      <c r="F5" s="12"/>
      <c r="G5" s="12" t="s">
        <v>1797</v>
      </c>
      <c r="H5" s="12"/>
      <c r="I5" s="12" t="s">
        <v>118</v>
      </c>
      <c r="J5" s="12" t="s">
        <v>1798</v>
      </c>
    </row>
    <row r="6" customFormat="false" ht="35.05" hidden="false" customHeight="false" outlineLevel="0" collapsed="false">
      <c r="A6" s="12" t="s">
        <v>56</v>
      </c>
      <c r="B6" s="12" t="s">
        <v>283</v>
      </c>
      <c r="C6" s="12" t="s">
        <v>289</v>
      </c>
      <c r="D6" s="12" t="s">
        <v>290</v>
      </c>
      <c r="E6" s="12" t="s">
        <v>1796</v>
      </c>
      <c r="F6" s="12" t="s">
        <v>1799</v>
      </c>
      <c r="G6" s="12" t="s">
        <v>1797</v>
      </c>
      <c r="H6" s="12"/>
      <c r="I6" s="12" t="s">
        <v>118</v>
      </c>
      <c r="J6" s="12" t="s">
        <v>1798</v>
      </c>
    </row>
    <row r="7" customFormat="false" ht="23.85" hidden="false" customHeight="false" outlineLevel="0" collapsed="false">
      <c r="A7" s="12" t="s">
        <v>56</v>
      </c>
      <c r="B7" s="12" t="s">
        <v>283</v>
      </c>
      <c r="C7" s="12" t="s">
        <v>291</v>
      </c>
      <c r="D7" s="12" t="s">
        <v>292</v>
      </c>
      <c r="E7" s="12" t="s">
        <v>293</v>
      </c>
      <c r="F7" s="12" t="s">
        <v>1799</v>
      </c>
      <c r="G7" s="12" t="s">
        <v>1797</v>
      </c>
      <c r="H7" s="12"/>
      <c r="I7" s="12" t="s">
        <v>118</v>
      </c>
      <c r="J7" s="12" t="s">
        <v>1798</v>
      </c>
    </row>
    <row r="8" customFormat="false" ht="23.85" hidden="false" customHeight="false" outlineLevel="0" collapsed="false">
      <c r="A8" s="12" t="s">
        <v>56</v>
      </c>
      <c r="B8" s="12" t="s">
        <v>283</v>
      </c>
      <c r="C8" s="12" t="s">
        <v>294</v>
      </c>
      <c r="D8" s="12" t="s">
        <v>295</v>
      </c>
      <c r="E8" s="12" t="s">
        <v>293</v>
      </c>
      <c r="F8" s="12" t="s">
        <v>1799</v>
      </c>
      <c r="G8" s="12" t="s">
        <v>1797</v>
      </c>
      <c r="H8" s="12"/>
      <c r="I8" s="12" t="s">
        <v>118</v>
      </c>
      <c r="J8" s="12" t="s">
        <v>1798</v>
      </c>
    </row>
    <row r="9" customFormat="false" ht="23.85" hidden="false" customHeight="false" outlineLevel="0" collapsed="false">
      <c r="A9" s="12" t="s">
        <v>56</v>
      </c>
      <c r="B9" s="12" t="s">
        <v>283</v>
      </c>
      <c r="C9" s="12" t="s">
        <v>296</v>
      </c>
      <c r="D9" s="12" t="s">
        <v>297</v>
      </c>
      <c r="E9" s="12" t="s">
        <v>293</v>
      </c>
      <c r="F9" s="12" t="s">
        <v>1799</v>
      </c>
      <c r="G9" s="12" t="s">
        <v>1797</v>
      </c>
      <c r="H9" s="12"/>
      <c r="I9" s="12" t="s">
        <v>118</v>
      </c>
      <c r="J9" s="12" t="s">
        <v>1798</v>
      </c>
    </row>
    <row r="10" customFormat="false" ht="35.05" hidden="false" customHeight="false" outlineLevel="0" collapsed="false">
      <c r="A10" s="12" t="s">
        <v>56</v>
      </c>
      <c r="B10" s="12" t="s">
        <v>283</v>
      </c>
      <c r="C10" s="12" t="s">
        <v>298</v>
      </c>
      <c r="D10" s="12" t="s">
        <v>299</v>
      </c>
      <c r="E10" s="12" t="s">
        <v>1796</v>
      </c>
      <c r="F10" s="12" t="s">
        <v>1799</v>
      </c>
      <c r="G10" s="12" t="s">
        <v>1797</v>
      </c>
      <c r="H10" s="12"/>
      <c r="I10" s="12" t="s">
        <v>118</v>
      </c>
      <c r="J10" s="12" t="s">
        <v>1798</v>
      </c>
    </row>
    <row r="11" customFormat="false" ht="23.85" hidden="false" customHeight="false" outlineLevel="0" collapsed="false">
      <c r="A11" s="12" t="s">
        <v>56</v>
      </c>
      <c r="B11" s="12" t="s">
        <v>283</v>
      </c>
      <c r="C11" s="12" t="s">
        <v>300</v>
      </c>
      <c r="D11" s="12" t="s">
        <v>301</v>
      </c>
      <c r="E11" s="12" t="s">
        <v>293</v>
      </c>
      <c r="F11" s="12" t="s">
        <v>1799</v>
      </c>
      <c r="G11" s="12" t="s">
        <v>1797</v>
      </c>
      <c r="H11" s="12"/>
      <c r="I11" s="12" t="s">
        <v>118</v>
      </c>
      <c r="J11" s="12" t="s">
        <v>1798</v>
      </c>
    </row>
    <row r="12" customFormat="false" ht="23.85" hidden="false" customHeight="false" outlineLevel="0" collapsed="false">
      <c r="A12" s="12" t="s">
        <v>56</v>
      </c>
      <c r="B12" s="12" t="s">
        <v>283</v>
      </c>
      <c r="C12" s="12" t="s">
        <v>302</v>
      </c>
      <c r="D12" s="12" t="s">
        <v>303</v>
      </c>
      <c r="E12" s="12" t="s">
        <v>293</v>
      </c>
      <c r="F12" s="12" t="s">
        <v>1799</v>
      </c>
      <c r="G12" s="12" t="s">
        <v>1797</v>
      </c>
      <c r="H12" s="12"/>
      <c r="I12" s="12" t="s">
        <v>118</v>
      </c>
      <c r="J12" s="12" t="s">
        <v>1798</v>
      </c>
    </row>
    <row r="13" customFormat="false" ht="35.05" hidden="false" customHeight="false" outlineLevel="0" collapsed="false">
      <c r="A13" s="12" t="s">
        <v>56</v>
      </c>
      <c r="B13" s="12" t="s">
        <v>283</v>
      </c>
      <c r="C13" s="12" t="s">
        <v>304</v>
      </c>
      <c r="D13" s="12" t="s">
        <v>305</v>
      </c>
      <c r="E13" s="12" t="s">
        <v>1796</v>
      </c>
      <c r="F13" s="12" t="s">
        <v>1799</v>
      </c>
      <c r="G13" s="12" t="s">
        <v>1797</v>
      </c>
      <c r="H13" s="12"/>
      <c r="I13" s="12" t="s">
        <v>118</v>
      </c>
      <c r="J13" s="12" t="s">
        <v>1798</v>
      </c>
    </row>
    <row r="14" customFormat="false" ht="23.85" hidden="false" customHeight="false" outlineLevel="0" collapsed="false">
      <c r="A14" s="12" t="s">
        <v>56</v>
      </c>
      <c r="B14" s="12" t="s">
        <v>283</v>
      </c>
      <c r="C14" s="12" t="s">
        <v>306</v>
      </c>
      <c r="D14" s="12" t="s">
        <v>307</v>
      </c>
      <c r="E14" s="12" t="s">
        <v>293</v>
      </c>
      <c r="F14" s="12" t="s">
        <v>1799</v>
      </c>
      <c r="G14" s="12" t="s">
        <v>1797</v>
      </c>
      <c r="H14" s="12"/>
      <c r="I14" s="12" t="s">
        <v>118</v>
      </c>
      <c r="J14" s="12" t="s">
        <v>1798</v>
      </c>
    </row>
    <row r="15" customFormat="false" ht="23.85" hidden="false" customHeight="false" outlineLevel="0" collapsed="false">
      <c r="A15" s="12" t="s">
        <v>56</v>
      </c>
      <c r="B15" s="12" t="s">
        <v>283</v>
      </c>
      <c r="C15" s="12" t="s">
        <v>308</v>
      </c>
      <c r="D15" s="12" t="s">
        <v>309</v>
      </c>
      <c r="E15" s="12" t="s">
        <v>293</v>
      </c>
      <c r="F15" s="12" t="s">
        <v>1799</v>
      </c>
      <c r="G15" s="12" t="s">
        <v>1797</v>
      </c>
      <c r="H15" s="12"/>
      <c r="I15" s="12" t="s">
        <v>118</v>
      </c>
      <c r="J15" s="12" t="s">
        <v>1798</v>
      </c>
    </row>
    <row r="16" customFormat="false" ht="23.85" hidden="false" customHeight="false" outlineLevel="0" collapsed="false">
      <c r="A16" s="12" t="s">
        <v>56</v>
      </c>
      <c r="B16" s="12" t="s">
        <v>283</v>
      </c>
      <c r="C16" s="12" t="s">
        <v>310</v>
      </c>
      <c r="D16" s="12" t="s">
        <v>311</v>
      </c>
      <c r="E16" s="12" t="s">
        <v>293</v>
      </c>
      <c r="F16" s="12" t="s">
        <v>1799</v>
      </c>
      <c r="G16" s="12" t="s">
        <v>1797</v>
      </c>
      <c r="H16" s="12"/>
      <c r="I16" s="12" t="s">
        <v>118</v>
      </c>
      <c r="J16" s="12" t="s">
        <v>1798</v>
      </c>
    </row>
    <row r="17" customFormat="false" ht="23.85" hidden="false" customHeight="false" outlineLevel="0" collapsed="false">
      <c r="A17" s="12" t="s">
        <v>56</v>
      </c>
      <c r="B17" s="12" t="s">
        <v>283</v>
      </c>
      <c r="C17" s="12" t="s">
        <v>312</v>
      </c>
      <c r="D17" s="12" t="s">
        <v>313</v>
      </c>
      <c r="E17" s="12" t="s">
        <v>293</v>
      </c>
      <c r="F17" s="12" t="s">
        <v>1800</v>
      </c>
      <c r="G17" s="12" t="s">
        <v>1797</v>
      </c>
      <c r="H17" s="12"/>
      <c r="I17" s="12" t="s">
        <v>118</v>
      </c>
      <c r="J17" s="12" t="s">
        <v>1798</v>
      </c>
    </row>
    <row r="18" customFormat="false" ht="23.85" hidden="false" customHeight="false" outlineLevel="0" collapsed="false">
      <c r="A18" s="12" t="s">
        <v>56</v>
      </c>
      <c r="B18" s="12" t="s">
        <v>283</v>
      </c>
      <c r="C18" s="12" t="s">
        <v>314</v>
      </c>
      <c r="D18" s="12" t="s">
        <v>315</v>
      </c>
      <c r="E18" s="12" t="s">
        <v>293</v>
      </c>
      <c r="F18" s="12" t="s">
        <v>1801</v>
      </c>
      <c r="G18" s="12" t="s">
        <v>1797</v>
      </c>
      <c r="H18" s="12"/>
      <c r="I18" s="12" t="s">
        <v>118</v>
      </c>
      <c r="J18" s="12" t="s">
        <v>1798</v>
      </c>
    </row>
    <row r="19" customFormat="false" ht="35.05" hidden="false" customHeight="false" outlineLevel="0" collapsed="false">
      <c r="A19" s="12" t="s">
        <v>56</v>
      </c>
      <c r="B19" s="12" t="s">
        <v>283</v>
      </c>
      <c r="C19" s="12" t="s">
        <v>316</v>
      </c>
      <c r="D19" s="12" t="s">
        <v>317</v>
      </c>
      <c r="E19" s="12" t="s">
        <v>1796</v>
      </c>
      <c r="F19" s="12"/>
      <c r="G19" s="12" t="s">
        <v>1797</v>
      </c>
      <c r="H19" s="12"/>
      <c r="I19" s="12" t="s">
        <v>118</v>
      </c>
      <c r="J19" s="12" t="s">
        <v>1798</v>
      </c>
    </row>
    <row r="20" customFormat="false" ht="23.85" hidden="false" customHeight="false" outlineLevel="0" collapsed="false">
      <c r="A20" s="12" t="s">
        <v>56</v>
      </c>
      <c r="B20" s="12" t="s">
        <v>283</v>
      </c>
      <c r="C20" s="12" t="s">
        <v>318</v>
      </c>
      <c r="D20" s="12" t="s">
        <v>319</v>
      </c>
      <c r="E20" s="12" t="s">
        <v>293</v>
      </c>
      <c r="F20" s="12" t="s">
        <v>1802</v>
      </c>
      <c r="G20" s="12" t="s">
        <v>1797</v>
      </c>
      <c r="H20" s="12"/>
      <c r="I20" s="12" t="s">
        <v>118</v>
      </c>
      <c r="J20" s="12" t="s">
        <v>1798</v>
      </c>
    </row>
    <row r="21" customFormat="false" ht="23.85" hidden="false" customHeight="false" outlineLevel="0" collapsed="false">
      <c r="A21" s="12" t="s">
        <v>56</v>
      </c>
      <c r="B21" s="12" t="s">
        <v>283</v>
      </c>
      <c r="C21" s="12" t="s">
        <v>320</v>
      </c>
      <c r="D21" s="12" t="s">
        <v>321</v>
      </c>
      <c r="E21" s="12" t="s">
        <v>293</v>
      </c>
      <c r="F21" s="12" t="s">
        <v>1801</v>
      </c>
      <c r="G21" s="12" t="s">
        <v>1797</v>
      </c>
      <c r="H21" s="12"/>
      <c r="I21" s="12" t="s">
        <v>118</v>
      </c>
      <c r="J21" s="12" t="s">
        <v>1798</v>
      </c>
    </row>
    <row r="22" customFormat="false" ht="23.85" hidden="false" customHeight="false" outlineLevel="0" collapsed="false">
      <c r="A22" s="12" t="s">
        <v>56</v>
      </c>
      <c r="B22" s="12" t="s">
        <v>283</v>
      </c>
      <c r="C22" s="12" t="s">
        <v>322</v>
      </c>
      <c r="D22" s="12" t="s">
        <v>323</v>
      </c>
      <c r="E22" s="12" t="s">
        <v>293</v>
      </c>
      <c r="F22" s="12" t="s">
        <v>1801</v>
      </c>
      <c r="G22" s="12" t="s">
        <v>1797</v>
      </c>
      <c r="H22" s="12"/>
      <c r="I22" s="12" t="s">
        <v>118</v>
      </c>
      <c r="J22" s="12" t="s">
        <v>1798</v>
      </c>
    </row>
    <row r="23" customFormat="false" ht="35.05" hidden="false" customHeight="false" outlineLevel="0" collapsed="false">
      <c r="A23" s="12" t="s">
        <v>56</v>
      </c>
      <c r="B23" s="12" t="s">
        <v>283</v>
      </c>
      <c r="C23" s="12" t="s">
        <v>324</v>
      </c>
      <c r="D23" s="12" t="s">
        <v>325</v>
      </c>
      <c r="E23" s="12" t="s">
        <v>1796</v>
      </c>
      <c r="F23" s="12"/>
      <c r="G23" s="12" t="s">
        <v>1797</v>
      </c>
      <c r="H23" s="12"/>
      <c r="I23" s="12" t="s">
        <v>118</v>
      </c>
      <c r="J23" s="12" t="s">
        <v>1798</v>
      </c>
    </row>
    <row r="24" customFormat="false" ht="23.85" hidden="false" customHeight="false" outlineLevel="0" collapsed="false">
      <c r="A24" s="12" t="s">
        <v>56</v>
      </c>
      <c r="B24" s="12" t="s">
        <v>283</v>
      </c>
      <c r="C24" s="12" t="s">
        <v>326</v>
      </c>
      <c r="D24" s="12" t="s">
        <v>327</v>
      </c>
      <c r="E24" s="12" t="s">
        <v>293</v>
      </c>
      <c r="F24" s="12" t="s">
        <v>1799</v>
      </c>
      <c r="G24" s="12" t="s">
        <v>1797</v>
      </c>
      <c r="H24" s="12"/>
      <c r="I24" s="12" t="s">
        <v>118</v>
      </c>
      <c r="J24" s="12" t="s">
        <v>1798</v>
      </c>
    </row>
    <row r="25" customFormat="false" ht="23.85" hidden="false" customHeight="false" outlineLevel="0" collapsed="false">
      <c r="A25" s="12" t="s">
        <v>56</v>
      </c>
      <c r="B25" s="12" t="s">
        <v>283</v>
      </c>
      <c r="C25" s="12" t="s">
        <v>328</v>
      </c>
      <c r="D25" s="12" t="s">
        <v>329</v>
      </c>
      <c r="E25" s="12" t="s">
        <v>293</v>
      </c>
      <c r="F25" s="12" t="s">
        <v>1799</v>
      </c>
      <c r="G25" s="12" t="s">
        <v>1797</v>
      </c>
      <c r="H25" s="12"/>
      <c r="I25" s="12" t="s">
        <v>118</v>
      </c>
      <c r="J25" s="12" t="s">
        <v>1798</v>
      </c>
    </row>
    <row r="26" customFormat="false" ht="23.85" hidden="false" customHeight="false" outlineLevel="0" collapsed="false">
      <c r="A26" s="12" t="s">
        <v>56</v>
      </c>
      <c r="B26" s="12" t="s">
        <v>283</v>
      </c>
      <c r="C26" s="12" t="s">
        <v>330</v>
      </c>
      <c r="D26" s="12" t="s">
        <v>331</v>
      </c>
      <c r="E26" s="12" t="s">
        <v>293</v>
      </c>
      <c r="F26" s="12" t="s">
        <v>1800</v>
      </c>
      <c r="G26" s="12" t="s">
        <v>1797</v>
      </c>
      <c r="H26" s="12"/>
      <c r="I26" s="12" t="s">
        <v>118</v>
      </c>
      <c r="J26" s="12" t="s">
        <v>1798</v>
      </c>
    </row>
    <row r="27" customFormat="false" ht="23.85" hidden="false" customHeight="false" outlineLevel="0" collapsed="false">
      <c r="A27" s="12" t="s">
        <v>56</v>
      </c>
      <c r="B27" s="12" t="s">
        <v>283</v>
      </c>
      <c r="C27" s="12" t="s">
        <v>332</v>
      </c>
      <c r="D27" s="12" t="s">
        <v>333</v>
      </c>
      <c r="E27" s="12" t="s">
        <v>293</v>
      </c>
      <c r="F27" s="12" t="s">
        <v>1799</v>
      </c>
      <c r="G27" s="12" t="s">
        <v>1797</v>
      </c>
      <c r="H27" s="12"/>
      <c r="I27" s="12" t="s">
        <v>118</v>
      </c>
      <c r="J27" s="12" t="s">
        <v>1798</v>
      </c>
    </row>
    <row r="28" customFormat="false" ht="23.85" hidden="false" customHeight="false" outlineLevel="0" collapsed="false">
      <c r="A28" s="12" t="s">
        <v>56</v>
      </c>
      <c r="B28" s="12" t="s">
        <v>283</v>
      </c>
      <c r="C28" s="12" t="s">
        <v>334</v>
      </c>
      <c r="D28" s="12" t="s">
        <v>335</v>
      </c>
      <c r="E28" s="12" t="s">
        <v>293</v>
      </c>
      <c r="F28" s="12" t="s">
        <v>1799</v>
      </c>
      <c r="G28" s="12" t="s">
        <v>1797</v>
      </c>
      <c r="H28" s="12"/>
      <c r="I28" s="12" t="s">
        <v>118</v>
      </c>
      <c r="J28" s="12" t="s">
        <v>1798</v>
      </c>
    </row>
    <row r="29" customFormat="false" ht="23.85" hidden="false" customHeight="false" outlineLevel="0" collapsed="false">
      <c r="A29" s="12" t="s">
        <v>56</v>
      </c>
      <c r="B29" s="12" t="s">
        <v>338</v>
      </c>
      <c r="C29" s="12" t="s">
        <v>339</v>
      </c>
      <c r="D29" s="12" t="s">
        <v>340</v>
      </c>
      <c r="E29" s="12" t="s">
        <v>293</v>
      </c>
      <c r="F29" s="12" t="s">
        <v>1799</v>
      </c>
      <c r="G29" s="12" t="s">
        <v>1797</v>
      </c>
      <c r="H29" s="12"/>
      <c r="I29" s="12" t="s">
        <v>118</v>
      </c>
      <c r="J29" s="12" t="s">
        <v>1798</v>
      </c>
    </row>
    <row r="30" customFormat="false" ht="23.85" hidden="false" customHeight="false" outlineLevel="0" collapsed="false">
      <c r="A30" s="12" t="s">
        <v>56</v>
      </c>
      <c r="B30" s="12" t="s">
        <v>338</v>
      </c>
      <c r="C30" s="12" t="s">
        <v>341</v>
      </c>
      <c r="D30" s="12" t="s">
        <v>342</v>
      </c>
      <c r="E30" s="12" t="s">
        <v>293</v>
      </c>
      <c r="F30" s="12" t="s">
        <v>1799</v>
      </c>
      <c r="G30" s="12" t="s">
        <v>1797</v>
      </c>
      <c r="H30" s="12"/>
      <c r="I30" s="12" t="s">
        <v>118</v>
      </c>
      <c r="J30" s="12" t="s">
        <v>1798</v>
      </c>
    </row>
    <row r="31" customFormat="false" ht="23.85" hidden="false" customHeight="false" outlineLevel="0" collapsed="false">
      <c r="A31" s="12" t="s">
        <v>56</v>
      </c>
      <c r="B31" s="12" t="s">
        <v>338</v>
      </c>
      <c r="C31" s="12" t="s">
        <v>343</v>
      </c>
      <c r="D31" s="12" t="s">
        <v>344</v>
      </c>
      <c r="E31" s="12" t="s">
        <v>293</v>
      </c>
      <c r="F31" s="12" t="s">
        <v>1799</v>
      </c>
      <c r="G31" s="12" t="s">
        <v>1803</v>
      </c>
      <c r="H31" s="12" t="s">
        <v>1804</v>
      </c>
      <c r="I31" s="12" t="s">
        <v>118</v>
      </c>
      <c r="J31" s="12" t="s">
        <v>1798</v>
      </c>
    </row>
    <row r="32" customFormat="false" ht="23.85" hidden="false" customHeight="false" outlineLevel="0" collapsed="false">
      <c r="A32" s="12" t="s">
        <v>56</v>
      </c>
      <c r="B32" s="12" t="s">
        <v>338</v>
      </c>
      <c r="C32" s="12" t="s">
        <v>345</v>
      </c>
      <c r="D32" s="12" t="s">
        <v>346</v>
      </c>
      <c r="E32" s="12" t="s">
        <v>293</v>
      </c>
      <c r="F32" s="12" t="s">
        <v>1799</v>
      </c>
      <c r="G32" s="12" t="s">
        <v>1797</v>
      </c>
      <c r="H32" s="12"/>
      <c r="I32" s="12" t="s">
        <v>118</v>
      </c>
      <c r="J32" s="12" t="s">
        <v>1798</v>
      </c>
    </row>
    <row r="33" customFormat="false" ht="23.85" hidden="false" customHeight="false" outlineLevel="0" collapsed="false">
      <c r="A33" s="12" t="s">
        <v>56</v>
      </c>
      <c r="B33" s="12" t="s">
        <v>338</v>
      </c>
      <c r="C33" s="12" t="s">
        <v>347</v>
      </c>
      <c r="D33" s="12" t="s">
        <v>348</v>
      </c>
      <c r="E33" s="12" t="s">
        <v>293</v>
      </c>
      <c r="F33" s="12" t="s">
        <v>1799</v>
      </c>
      <c r="G33" s="12" t="s">
        <v>1797</v>
      </c>
      <c r="H33" s="12"/>
      <c r="I33" s="12" t="s">
        <v>118</v>
      </c>
      <c r="J33" s="12" t="s">
        <v>1798</v>
      </c>
    </row>
    <row r="34" customFormat="false" ht="23.85" hidden="false" customHeight="false" outlineLevel="0" collapsed="false">
      <c r="A34" s="12" t="s">
        <v>56</v>
      </c>
      <c r="B34" s="12" t="s">
        <v>338</v>
      </c>
      <c r="C34" s="12" t="s">
        <v>349</v>
      </c>
      <c r="D34" s="12" t="s">
        <v>350</v>
      </c>
      <c r="E34" s="12" t="s">
        <v>293</v>
      </c>
      <c r="F34" s="12" t="s">
        <v>1799</v>
      </c>
      <c r="G34" s="12" t="s">
        <v>1803</v>
      </c>
      <c r="H34" s="12" t="s">
        <v>1804</v>
      </c>
      <c r="I34" s="12" t="s">
        <v>118</v>
      </c>
      <c r="J34" s="12" t="s">
        <v>1798</v>
      </c>
    </row>
    <row r="35" customFormat="false" ht="23.85" hidden="false" customHeight="false" outlineLevel="0" collapsed="false">
      <c r="A35" s="12" t="s">
        <v>56</v>
      </c>
      <c r="B35" s="12" t="s">
        <v>338</v>
      </c>
      <c r="C35" s="12" t="s">
        <v>351</v>
      </c>
      <c r="D35" s="12" t="s">
        <v>352</v>
      </c>
      <c r="E35" s="12" t="s">
        <v>293</v>
      </c>
      <c r="F35" s="12" t="s">
        <v>1799</v>
      </c>
      <c r="G35" s="12" t="s">
        <v>1797</v>
      </c>
      <c r="H35" s="12"/>
      <c r="I35" s="12" t="s">
        <v>118</v>
      </c>
      <c r="J35" s="12" t="s">
        <v>1798</v>
      </c>
    </row>
    <row r="36" customFormat="false" ht="23.85" hidden="false" customHeight="false" outlineLevel="0" collapsed="false">
      <c r="A36" s="12" t="s">
        <v>56</v>
      </c>
      <c r="B36" s="12" t="s">
        <v>338</v>
      </c>
      <c r="C36" s="12" t="s">
        <v>353</v>
      </c>
      <c r="D36" s="12" t="s">
        <v>354</v>
      </c>
      <c r="E36" s="12" t="s">
        <v>293</v>
      </c>
      <c r="F36" s="12" t="s">
        <v>1799</v>
      </c>
      <c r="G36" s="12" t="s">
        <v>1797</v>
      </c>
      <c r="H36" s="12"/>
      <c r="I36" s="12" t="s">
        <v>118</v>
      </c>
      <c r="J36" s="12" t="s">
        <v>1798</v>
      </c>
    </row>
    <row r="37" customFormat="false" ht="23.85" hidden="false" customHeight="false" outlineLevel="0" collapsed="false">
      <c r="A37" s="12" t="s">
        <v>56</v>
      </c>
      <c r="B37" s="12" t="s">
        <v>338</v>
      </c>
      <c r="C37" s="12" t="s">
        <v>355</v>
      </c>
      <c r="D37" s="12" t="s">
        <v>356</v>
      </c>
      <c r="E37" s="12" t="s">
        <v>293</v>
      </c>
      <c r="F37" s="12" t="s">
        <v>1799</v>
      </c>
      <c r="G37" s="12" t="s">
        <v>1803</v>
      </c>
      <c r="H37" s="12" t="s">
        <v>1804</v>
      </c>
      <c r="I37" s="12" t="s">
        <v>118</v>
      </c>
      <c r="J37" s="12" t="s">
        <v>1798</v>
      </c>
    </row>
    <row r="38" customFormat="false" ht="23.85" hidden="false" customHeight="false" outlineLevel="0" collapsed="false">
      <c r="A38" s="12" t="s">
        <v>56</v>
      </c>
      <c r="B38" s="12" t="s">
        <v>338</v>
      </c>
      <c r="C38" s="12" t="s">
        <v>357</v>
      </c>
      <c r="D38" s="12" t="s">
        <v>358</v>
      </c>
      <c r="E38" s="12" t="s">
        <v>293</v>
      </c>
      <c r="F38" s="12" t="s">
        <v>1799</v>
      </c>
      <c r="G38" s="12" t="s">
        <v>1797</v>
      </c>
      <c r="H38" s="12"/>
      <c r="I38" s="12" t="s">
        <v>118</v>
      </c>
      <c r="J38" s="12" t="s">
        <v>1798</v>
      </c>
    </row>
    <row r="39" customFormat="false" ht="23.85" hidden="false" customHeight="false" outlineLevel="0" collapsed="false">
      <c r="A39" s="12" t="s">
        <v>56</v>
      </c>
      <c r="B39" s="12" t="s">
        <v>338</v>
      </c>
      <c r="C39" s="12" t="s">
        <v>359</v>
      </c>
      <c r="D39" s="12" t="s">
        <v>360</v>
      </c>
      <c r="E39" s="12" t="s">
        <v>293</v>
      </c>
      <c r="F39" s="12" t="s">
        <v>1799</v>
      </c>
      <c r="G39" s="12" t="s">
        <v>1797</v>
      </c>
      <c r="H39" s="12"/>
      <c r="I39" s="12" t="s">
        <v>118</v>
      </c>
      <c r="J39" s="12" t="s">
        <v>1798</v>
      </c>
    </row>
    <row r="40" customFormat="false" ht="23.85" hidden="false" customHeight="false" outlineLevel="0" collapsed="false">
      <c r="A40" s="12" t="s">
        <v>56</v>
      </c>
      <c r="B40" s="12" t="s">
        <v>338</v>
      </c>
      <c r="C40" s="12" t="s">
        <v>361</v>
      </c>
      <c r="D40" s="12" t="s">
        <v>362</v>
      </c>
      <c r="E40" s="12" t="s">
        <v>293</v>
      </c>
      <c r="F40" s="12" t="s">
        <v>1799</v>
      </c>
      <c r="G40" s="12" t="s">
        <v>1803</v>
      </c>
      <c r="H40" s="12" t="s">
        <v>1804</v>
      </c>
      <c r="I40" s="12" t="s">
        <v>118</v>
      </c>
      <c r="J40" s="12" t="s">
        <v>1798</v>
      </c>
    </row>
    <row r="41" customFormat="false" ht="23.85" hidden="false" customHeight="false" outlineLevel="0" collapsed="false">
      <c r="A41" s="12" t="s">
        <v>56</v>
      </c>
      <c r="B41" s="12" t="s">
        <v>338</v>
      </c>
      <c r="C41" s="12" t="s">
        <v>363</v>
      </c>
      <c r="D41" s="12" t="s">
        <v>364</v>
      </c>
      <c r="E41" s="12" t="s">
        <v>293</v>
      </c>
      <c r="F41" s="12" t="s">
        <v>1799</v>
      </c>
      <c r="G41" s="12" t="s">
        <v>1797</v>
      </c>
      <c r="H41" s="12"/>
      <c r="I41" s="12" t="s">
        <v>118</v>
      </c>
      <c r="J41" s="12" t="s">
        <v>1798</v>
      </c>
    </row>
    <row r="42" customFormat="false" ht="23.85" hidden="false" customHeight="false" outlineLevel="0" collapsed="false">
      <c r="A42" s="12" t="s">
        <v>56</v>
      </c>
      <c r="B42" s="12" t="s">
        <v>338</v>
      </c>
      <c r="C42" s="12" t="s">
        <v>365</v>
      </c>
      <c r="D42" s="12" t="s">
        <v>366</v>
      </c>
      <c r="E42" s="12" t="s">
        <v>293</v>
      </c>
      <c r="F42" s="12" t="s">
        <v>1799</v>
      </c>
      <c r="G42" s="12" t="s">
        <v>1797</v>
      </c>
      <c r="H42" s="12"/>
      <c r="I42" s="12" t="s">
        <v>118</v>
      </c>
      <c r="J42" s="12" t="s">
        <v>1798</v>
      </c>
    </row>
    <row r="43" customFormat="false" ht="23.85" hidden="false" customHeight="false" outlineLevel="0" collapsed="false">
      <c r="A43" s="12" t="s">
        <v>56</v>
      </c>
      <c r="B43" s="12" t="s">
        <v>338</v>
      </c>
      <c r="C43" s="12" t="s">
        <v>367</v>
      </c>
      <c r="D43" s="12" t="s">
        <v>368</v>
      </c>
      <c r="E43" s="12" t="s">
        <v>293</v>
      </c>
      <c r="F43" s="12" t="s">
        <v>1799</v>
      </c>
      <c r="G43" s="12" t="s">
        <v>1803</v>
      </c>
      <c r="H43" s="12" t="s">
        <v>1804</v>
      </c>
      <c r="I43" s="12" t="s">
        <v>118</v>
      </c>
      <c r="J43" s="12" t="s">
        <v>1798</v>
      </c>
    </row>
    <row r="44" customFormat="false" ht="23.85" hidden="false" customHeight="false" outlineLevel="0" collapsed="false">
      <c r="A44" s="12" t="s">
        <v>56</v>
      </c>
      <c r="B44" s="12" t="s">
        <v>338</v>
      </c>
      <c r="C44" s="12" t="s">
        <v>369</v>
      </c>
      <c r="D44" s="12" t="s">
        <v>370</v>
      </c>
      <c r="E44" s="12" t="s">
        <v>293</v>
      </c>
      <c r="F44" s="12" t="s">
        <v>1799</v>
      </c>
      <c r="G44" s="12" t="s">
        <v>1797</v>
      </c>
      <c r="H44" s="12"/>
      <c r="I44" s="12" t="s">
        <v>118</v>
      </c>
      <c r="J44" s="12" t="s">
        <v>1798</v>
      </c>
    </row>
    <row r="45" customFormat="false" ht="23.85" hidden="false" customHeight="false" outlineLevel="0" collapsed="false">
      <c r="A45" s="12" t="s">
        <v>56</v>
      </c>
      <c r="B45" s="12" t="s">
        <v>338</v>
      </c>
      <c r="C45" s="12" t="s">
        <v>371</v>
      </c>
      <c r="D45" s="12" t="s">
        <v>372</v>
      </c>
      <c r="E45" s="12" t="s">
        <v>293</v>
      </c>
      <c r="F45" s="12" t="s">
        <v>1799</v>
      </c>
      <c r="G45" s="12" t="s">
        <v>1797</v>
      </c>
      <c r="H45" s="12"/>
      <c r="I45" s="12" t="s">
        <v>118</v>
      </c>
      <c r="J45" s="12" t="s">
        <v>1798</v>
      </c>
    </row>
    <row r="46" customFormat="false" ht="23.85" hidden="false" customHeight="false" outlineLevel="0" collapsed="false">
      <c r="A46" s="12" t="s">
        <v>56</v>
      </c>
      <c r="B46" s="12" t="s">
        <v>338</v>
      </c>
      <c r="C46" s="12" t="s">
        <v>373</v>
      </c>
      <c r="D46" s="12" t="s">
        <v>374</v>
      </c>
      <c r="E46" s="12" t="s">
        <v>293</v>
      </c>
      <c r="F46" s="12" t="s">
        <v>1799</v>
      </c>
      <c r="G46" s="12" t="s">
        <v>1803</v>
      </c>
      <c r="H46" s="12" t="s">
        <v>1804</v>
      </c>
      <c r="I46" s="12" t="s">
        <v>118</v>
      </c>
      <c r="J46" s="12" t="s">
        <v>1798</v>
      </c>
    </row>
    <row r="47" customFormat="false" ht="23.85" hidden="false" customHeight="false" outlineLevel="0" collapsed="false">
      <c r="A47" s="12" t="s">
        <v>56</v>
      </c>
      <c r="B47" s="12" t="s">
        <v>338</v>
      </c>
      <c r="C47" s="12" t="s">
        <v>375</v>
      </c>
      <c r="D47" s="12" t="s">
        <v>376</v>
      </c>
      <c r="E47" s="12" t="s">
        <v>293</v>
      </c>
      <c r="F47" s="12" t="s">
        <v>1799</v>
      </c>
      <c r="G47" s="12" t="s">
        <v>1797</v>
      </c>
      <c r="H47" s="12"/>
      <c r="I47" s="12" t="s">
        <v>118</v>
      </c>
      <c r="J47" s="12" t="s">
        <v>1798</v>
      </c>
    </row>
    <row r="48" customFormat="false" ht="23.85" hidden="false" customHeight="false" outlineLevel="0" collapsed="false">
      <c r="A48" s="12" t="s">
        <v>56</v>
      </c>
      <c r="B48" s="12" t="s">
        <v>338</v>
      </c>
      <c r="C48" s="12" t="s">
        <v>377</v>
      </c>
      <c r="D48" s="12" t="s">
        <v>378</v>
      </c>
      <c r="E48" s="12" t="s">
        <v>293</v>
      </c>
      <c r="F48" s="12" t="s">
        <v>1799</v>
      </c>
      <c r="G48" s="12" t="s">
        <v>1797</v>
      </c>
      <c r="H48" s="12"/>
      <c r="I48" s="12" t="s">
        <v>118</v>
      </c>
      <c r="J48" s="12" t="s">
        <v>1798</v>
      </c>
    </row>
    <row r="49" customFormat="false" ht="23.85" hidden="false" customHeight="false" outlineLevel="0" collapsed="false">
      <c r="A49" s="12" t="s">
        <v>56</v>
      </c>
      <c r="B49" s="12" t="s">
        <v>338</v>
      </c>
      <c r="C49" s="12" t="s">
        <v>379</v>
      </c>
      <c r="D49" s="12" t="s">
        <v>380</v>
      </c>
      <c r="E49" s="12" t="s">
        <v>293</v>
      </c>
      <c r="F49" s="12" t="s">
        <v>1799</v>
      </c>
      <c r="G49" s="12" t="s">
        <v>1803</v>
      </c>
      <c r="H49" s="12" t="s">
        <v>1804</v>
      </c>
      <c r="I49" s="12" t="s">
        <v>118</v>
      </c>
      <c r="J49" s="12" t="s">
        <v>1798</v>
      </c>
    </row>
    <row r="50" customFormat="false" ht="23.85" hidden="false" customHeight="false" outlineLevel="0" collapsed="false">
      <c r="A50" s="12" t="s">
        <v>56</v>
      </c>
      <c r="B50" s="12" t="s">
        <v>338</v>
      </c>
      <c r="C50" s="12" t="s">
        <v>381</v>
      </c>
      <c r="D50" s="12" t="s">
        <v>382</v>
      </c>
      <c r="E50" s="12" t="s">
        <v>293</v>
      </c>
      <c r="F50" s="12" t="s">
        <v>1800</v>
      </c>
      <c r="G50" s="12" t="s">
        <v>1797</v>
      </c>
      <c r="H50" s="12"/>
      <c r="I50" s="12" t="s">
        <v>118</v>
      </c>
      <c r="J50" s="12" t="s">
        <v>1798</v>
      </c>
    </row>
    <row r="51" customFormat="false" ht="23.85" hidden="false" customHeight="false" outlineLevel="0" collapsed="false">
      <c r="A51" s="12" t="s">
        <v>56</v>
      </c>
      <c r="B51" s="12" t="s">
        <v>338</v>
      </c>
      <c r="C51" s="12" t="s">
        <v>383</v>
      </c>
      <c r="D51" s="12" t="s">
        <v>384</v>
      </c>
      <c r="E51" s="12" t="s">
        <v>293</v>
      </c>
      <c r="F51" s="12" t="s">
        <v>1800</v>
      </c>
      <c r="G51" s="12" t="s">
        <v>1797</v>
      </c>
      <c r="H51" s="12"/>
      <c r="I51" s="12" t="s">
        <v>118</v>
      </c>
      <c r="J51" s="12" t="s">
        <v>1798</v>
      </c>
    </row>
    <row r="52" customFormat="false" ht="23.85" hidden="false" customHeight="false" outlineLevel="0" collapsed="false">
      <c r="A52" s="12" t="s">
        <v>56</v>
      </c>
      <c r="B52" s="12" t="s">
        <v>338</v>
      </c>
      <c r="C52" s="12" t="s">
        <v>385</v>
      </c>
      <c r="D52" s="12" t="s">
        <v>386</v>
      </c>
      <c r="E52" s="12" t="s">
        <v>293</v>
      </c>
      <c r="F52" s="12" t="s">
        <v>1800</v>
      </c>
      <c r="G52" s="12" t="s">
        <v>1803</v>
      </c>
      <c r="H52" s="12" t="s">
        <v>1804</v>
      </c>
      <c r="I52" s="12" t="s">
        <v>118</v>
      </c>
      <c r="J52" s="12" t="s">
        <v>1798</v>
      </c>
    </row>
    <row r="53" customFormat="false" ht="23.85" hidden="false" customHeight="false" outlineLevel="0" collapsed="false">
      <c r="A53" s="12" t="s">
        <v>56</v>
      </c>
      <c r="B53" s="12" t="s">
        <v>338</v>
      </c>
      <c r="C53" s="12" t="s">
        <v>387</v>
      </c>
      <c r="D53" s="12" t="s">
        <v>388</v>
      </c>
      <c r="E53" s="12" t="s">
        <v>293</v>
      </c>
      <c r="F53" s="12" t="s">
        <v>1799</v>
      </c>
      <c r="G53" s="12" t="s">
        <v>1797</v>
      </c>
      <c r="H53" s="12"/>
      <c r="I53" s="12" t="s">
        <v>118</v>
      </c>
      <c r="J53" s="12" t="s">
        <v>1798</v>
      </c>
    </row>
    <row r="54" customFormat="false" ht="23.85" hidden="false" customHeight="false" outlineLevel="0" collapsed="false">
      <c r="A54" s="12" t="s">
        <v>56</v>
      </c>
      <c r="B54" s="12" t="s">
        <v>338</v>
      </c>
      <c r="C54" s="12" t="s">
        <v>389</v>
      </c>
      <c r="D54" s="12" t="s">
        <v>390</v>
      </c>
      <c r="E54" s="12" t="s">
        <v>293</v>
      </c>
      <c r="F54" s="12" t="s">
        <v>1799</v>
      </c>
      <c r="G54" s="12" t="s">
        <v>1797</v>
      </c>
      <c r="H54" s="12"/>
      <c r="I54" s="12" t="s">
        <v>118</v>
      </c>
      <c r="J54" s="12" t="s">
        <v>1798</v>
      </c>
    </row>
    <row r="55" customFormat="false" ht="23.85" hidden="false" customHeight="false" outlineLevel="0" collapsed="false">
      <c r="A55" s="12" t="s">
        <v>56</v>
      </c>
      <c r="B55" s="12" t="s">
        <v>338</v>
      </c>
      <c r="C55" s="12" t="s">
        <v>391</v>
      </c>
      <c r="D55" s="12" t="s">
        <v>392</v>
      </c>
      <c r="E55" s="12" t="s">
        <v>293</v>
      </c>
      <c r="F55" s="12" t="s">
        <v>1799</v>
      </c>
      <c r="G55" s="12" t="s">
        <v>1803</v>
      </c>
      <c r="H55" s="12" t="s">
        <v>1804</v>
      </c>
      <c r="I55" s="12" t="s">
        <v>118</v>
      </c>
      <c r="J55" s="12" t="s">
        <v>1798</v>
      </c>
    </row>
    <row r="56" customFormat="false" ht="23.85" hidden="false" customHeight="false" outlineLevel="0" collapsed="false">
      <c r="A56" s="12" t="s">
        <v>56</v>
      </c>
      <c r="B56" s="12" t="s">
        <v>338</v>
      </c>
      <c r="C56" s="12" t="s">
        <v>393</v>
      </c>
      <c r="D56" s="12" t="s">
        <v>394</v>
      </c>
      <c r="E56" s="12" t="s">
        <v>293</v>
      </c>
      <c r="F56" s="12" t="s">
        <v>1801</v>
      </c>
      <c r="G56" s="12" t="s">
        <v>1797</v>
      </c>
      <c r="H56" s="12"/>
      <c r="I56" s="12" t="s">
        <v>118</v>
      </c>
      <c r="J56" s="12" t="s">
        <v>1798</v>
      </c>
    </row>
    <row r="57" customFormat="false" ht="23.85" hidden="false" customHeight="false" outlineLevel="0" collapsed="false">
      <c r="A57" s="12" t="s">
        <v>56</v>
      </c>
      <c r="B57" s="12" t="s">
        <v>338</v>
      </c>
      <c r="C57" s="12" t="s">
        <v>395</v>
      </c>
      <c r="D57" s="12" t="s">
        <v>396</v>
      </c>
      <c r="E57" s="12" t="s">
        <v>293</v>
      </c>
      <c r="F57" s="12" t="s">
        <v>1801</v>
      </c>
      <c r="G57" s="12" t="s">
        <v>1797</v>
      </c>
      <c r="H57" s="12"/>
      <c r="I57" s="12" t="s">
        <v>118</v>
      </c>
      <c r="J57" s="12" t="s">
        <v>1798</v>
      </c>
    </row>
    <row r="58" customFormat="false" ht="23.85" hidden="false" customHeight="false" outlineLevel="0" collapsed="false">
      <c r="A58" s="12" t="s">
        <v>56</v>
      </c>
      <c r="B58" s="12" t="s">
        <v>338</v>
      </c>
      <c r="C58" s="12" t="s">
        <v>397</v>
      </c>
      <c r="D58" s="12" t="s">
        <v>398</v>
      </c>
      <c r="E58" s="12" t="s">
        <v>293</v>
      </c>
      <c r="F58" s="12" t="s">
        <v>1801</v>
      </c>
      <c r="G58" s="12" t="s">
        <v>1803</v>
      </c>
      <c r="H58" s="12" t="s">
        <v>1804</v>
      </c>
      <c r="I58" s="12" t="s">
        <v>118</v>
      </c>
      <c r="J58" s="12" t="s">
        <v>1798</v>
      </c>
    </row>
    <row r="59" customFormat="false" ht="35.05" hidden="false" customHeight="false" outlineLevel="0" collapsed="false">
      <c r="A59" s="12" t="s">
        <v>57</v>
      </c>
      <c r="B59" s="12" t="s">
        <v>283</v>
      </c>
      <c r="C59" s="12" t="s">
        <v>401</v>
      </c>
      <c r="D59" s="12" t="s">
        <v>402</v>
      </c>
      <c r="E59" s="12" t="s">
        <v>1796</v>
      </c>
      <c r="F59" s="12" t="s">
        <v>1805</v>
      </c>
      <c r="G59" s="12" t="s">
        <v>1797</v>
      </c>
      <c r="H59" s="12"/>
      <c r="I59" s="12" t="s">
        <v>118</v>
      </c>
      <c r="J59" s="12" t="s">
        <v>1798</v>
      </c>
    </row>
    <row r="60" customFormat="false" ht="23.85" hidden="false" customHeight="false" outlineLevel="0" collapsed="false">
      <c r="A60" s="12" t="s">
        <v>57</v>
      </c>
      <c r="B60" s="12" t="s">
        <v>283</v>
      </c>
      <c r="C60" s="12" t="s">
        <v>403</v>
      </c>
      <c r="D60" s="12" t="s">
        <v>404</v>
      </c>
      <c r="E60" s="12" t="s">
        <v>293</v>
      </c>
      <c r="F60" s="12" t="s">
        <v>1805</v>
      </c>
      <c r="G60" s="12" t="s">
        <v>1797</v>
      </c>
      <c r="H60" s="12"/>
      <c r="I60" s="12" t="s">
        <v>118</v>
      </c>
      <c r="J60" s="12" t="s">
        <v>1798</v>
      </c>
    </row>
    <row r="61" customFormat="false" ht="23.85" hidden="false" customHeight="false" outlineLevel="0" collapsed="false">
      <c r="A61" s="12" t="s">
        <v>57</v>
      </c>
      <c r="B61" s="12" t="s">
        <v>283</v>
      </c>
      <c r="C61" s="12" t="s">
        <v>405</v>
      </c>
      <c r="D61" s="12" t="s">
        <v>406</v>
      </c>
      <c r="E61" s="12" t="s">
        <v>293</v>
      </c>
      <c r="F61" s="12" t="s">
        <v>1805</v>
      </c>
      <c r="G61" s="12" t="s">
        <v>1797</v>
      </c>
      <c r="H61" s="12"/>
      <c r="I61" s="12" t="s">
        <v>118</v>
      </c>
      <c r="J61" s="12" t="s">
        <v>1798</v>
      </c>
    </row>
    <row r="62" customFormat="false" ht="23.85" hidden="false" customHeight="false" outlineLevel="0" collapsed="false">
      <c r="A62" s="12" t="s">
        <v>57</v>
      </c>
      <c r="B62" s="12" t="s">
        <v>283</v>
      </c>
      <c r="C62" s="12" t="s">
        <v>407</v>
      </c>
      <c r="D62" s="12" t="s">
        <v>408</v>
      </c>
      <c r="E62" s="12" t="s">
        <v>293</v>
      </c>
      <c r="F62" s="12" t="s">
        <v>1805</v>
      </c>
      <c r="G62" s="12" t="s">
        <v>1797</v>
      </c>
      <c r="H62" s="12"/>
      <c r="I62" s="12" t="s">
        <v>118</v>
      </c>
      <c r="J62" s="12" t="s">
        <v>1798</v>
      </c>
    </row>
    <row r="63" customFormat="false" ht="23.85" hidden="false" customHeight="false" outlineLevel="0" collapsed="false">
      <c r="A63" s="12" t="s">
        <v>57</v>
      </c>
      <c r="B63" s="12" t="s">
        <v>283</v>
      </c>
      <c r="C63" s="12" t="s">
        <v>409</v>
      </c>
      <c r="D63" s="12" t="s">
        <v>410</v>
      </c>
      <c r="E63" s="12" t="s">
        <v>293</v>
      </c>
      <c r="F63" s="12" t="s">
        <v>1805</v>
      </c>
      <c r="G63" s="12" t="s">
        <v>1797</v>
      </c>
      <c r="H63" s="12"/>
      <c r="I63" s="12" t="s">
        <v>118</v>
      </c>
      <c r="J63" s="12" t="s">
        <v>1798</v>
      </c>
    </row>
    <row r="64" customFormat="false" ht="23.85" hidden="false" customHeight="false" outlineLevel="0" collapsed="false">
      <c r="A64" s="12" t="s">
        <v>57</v>
      </c>
      <c r="B64" s="12" t="s">
        <v>283</v>
      </c>
      <c r="C64" s="12" t="s">
        <v>411</v>
      </c>
      <c r="D64" s="12" t="s">
        <v>412</v>
      </c>
      <c r="E64" s="12" t="s">
        <v>293</v>
      </c>
      <c r="F64" s="12" t="s">
        <v>1805</v>
      </c>
      <c r="G64" s="12" t="s">
        <v>1803</v>
      </c>
      <c r="H64" s="12" t="s">
        <v>1806</v>
      </c>
      <c r="I64" s="12" t="s">
        <v>118</v>
      </c>
      <c r="J64" s="12" t="s">
        <v>1798</v>
      </c>
    </row>
    <row r="65" customFormat="false" ht="23.85" hidden="false" customHeight="false" outlineLevel="0" collapsed="false">
      <c r="A65" s="12" t="s">
        <v>57</v>
      </c>
      <c r="B65" s="12" t="s">
        <v>283</v>
      </c>
      <c r="C65" s="12" t="s">
        <v>413</v>
      </c>
      <c r="D65" s="12" t="s">
        <v>414</v>
      </c>
      <c r="E65" s="12" t="s">
        <v>293</v>
      </c>
      <c r="F65" s="12" t="s">
        <v>1805</v>
      </c>
      <c r="G65" s="12" t="s">
        <v>1797</v>
      </c>
      <c r="H65" s="12"/>
      <c r="I65" s="12" t="s">
        <v>118</v>
      </c>
      <c r="J65" s="12" t="s">
        <v>1798</v>
      </c>
    </row>
    <row r="66" customFormat="false" ht="23.85" hidden="false" customHeight="false" outlineLevel="0" collapsed="false">
      <c r="A66" s="12" t="s">
        <v>57</v>
      </c>
      <c r="B66" s="12" t="s">
        <v>283</v>
      </c>
      <c r="C66" s="12" t="s">
        <v>415</v>
      </c>
      <c r="D66" s="12" t="s">
        <v>416</v>
      </c>
      <c r="E66" s="12" t="s">
        <v>293</v>
      </c>
      <c r="F66" s="12" t="s">
        <v>1805</v>
      </c>
      <c r="G66" s="12" t="s">
        <v>1797</v>
      </c>
      <c r="H66" s="12"/>
      <c r="I66" s="12" t="s">
        <v>118</v>
      </c>
      <c r="J66" s="12" t="s">
        <v>1798</v>
      </c>
    </row>
    <row r="67" customFormat="false" ht="35.05" hidden="false" customHeight="false" outlineLevel="0" collapsed="false">
      <c r="A67" s="12" t="s">
        <v>57</v>
      </c>
      <c r="B67" s="12" t="s">
        <v>283</v>
      </c>
      <c r="C67" s="12" t="s">
        <v>417</v>
      </c>
      <c r="D67" s="12" t="s">
        <v>418</v>
      </c>
      <c r="E67" s="12" t="s">
        <v>1796</v>
      </c>
      <c r="F67" s="12" t="s">
        <v>1807</v>
      </c>
      <c r="G67" s="12" t="s">
        <v>1797</v>
      </c>
      <c r="H67" s="12"/>
      <c r="I67" s="12" t="s">
        <v>118</v>
      </c>
      <c r="J67" s="12" t="s">
        <v>1798</v>
      </c>
    </row>
    <row r="68" customFormat="false" ht="35.05" hidden="false" customHeight="false" outlineLevel="0" collapsed="false">
      <c r="A68" s="12" t="s">
        <v>57</v>
      </c>
      <c r="B68" s="12" t="s">
        <v>283</v>
      </c>
      <c r="C68" s="12" t="s">
        <v>419</v>
      </c>
      <c r="D68" s="12" t="s">
        <v>420</v>
      </c>
      <c r="E68" s="12" t="s">
        <v>1796</v>
      </c>
      <c r="F68" s="12" t="s">
        <v>1807</v>
      </c>
      <c r="G68" s="12" t="s">
        <v>1797</v>
      </c>
      <c r="H68" s="12"/>
      <c r="I68" s="12" t="s">
        <v>118</v>
      </c>
      <c r="J68" s="12" t="s">
        <v>1798</v>
      </c>
    </row>
    <row r="69" customFormat="false" ht="23.85" hidden="false" customHeight="false" outlineLevel="0" collapsed="false">
      <c r="A69" s="12" t="s">
        <v>57</v>
      </c>
      <c r="B69" s="12" t="s">
        <v>283</v>
      </c>
      <c r="C69" s="12" t="s">
        <v>421</v>
      </c>
      <c r="D69" s="12" t="s">
        <v>422</v>
      </c>
      <c r="E69" s="12" t="s">
        <v>293</v>
      </c>
      <c r="F69" s="12" t="s">
        <v>1807</v>
      </c>
      <c r="G69" s="12" t="s">
        <v>1797</v>
      </c>
      <c r="H69" s="12"/>
      <c r="I69" s="12" t="s">
        <v>118</v>
      </c>
      <c r="J69" s="12" t="s">
        <v>1798</v>
      </c>
    </row>
    <row r="70" customFormat="false" ht="23.85" hidden="false" customHeight="false" outlineLevel="0" collapsed="false">
      <c r="A70" s="12" t="s">
        <v>57</v>
      </c>
      <c r="B70" s="12" t="s">
        <v>283</v>
      </c>
      <c r="C70" s="12" t="s">
        <v>423</v>
      </c>
      <c r="D70" s="12" t="s">
        <v>424</v>
      </c>
      <c r="E70" s="12" t="s">
        <v>293</v>
      </c>
      <c r="F70" s="12" t="s">
        <v>1807</v>
      </c>
      <c r="G70" s="12" t="s">
        <v>1797</v>
      </c>
      <c r="H70" s="12"/>
      <c r="I70" s="12" t="s">
        <v>118</v>
      </c>
      <c r="J70" s="12" t="s">
        <v>1798</v>
      </c>
    </row>
    <row r="71" customFormat="false" ht="23.85" hidden="false" customHeight="false" outlineLevel="0" collapsed="false">
      <c r="A71" s="12" t="s">
        <v>57</v>
      </c>
      <c r="B71" s="12" t="s">
        <v>283</v>
      </c>
      <c r="C71" s="12" t="s">
        <v>425</v>
      </c>
      <c r="D71" s="12" t="s">
        <v>426</v>
      </c>
      <c r="E71" s="12" t="s">
        <v>293</v>
      </c>
      <c r="F71" s="12" t="s">
        <v>1807</v>
      </c>
      <c r="G71" s="12" t="s">
        <v>1797</v>
      </c>
      <c r="H71" s="12"/>
      <c r="I71" s="12" t="s">
        <v>118</v>
      </c>
      <c r="J71" s="12" t="s">
        <v>1798</v>
      </c>
    </row>
    <row r="72" customFormat="false" ht="35.05" hidden="false" customHeight="false" outlineLevel="0" collapsed="false">
      <c r="A72" s="12" t="s">
        <v>57</v>
      </c>
      <c r="B72" s="12" t="s">
        <v>283</v>
      </c>
      <c r="C72" s="12" t="s">
        <v>427</v>
      </c>
      <c r="D72" s="12" t="s">
        <v>428</v>
      </c>
      <c r="E72" s="12" t="s">
        <v>1796</v>
      </c>
      <c r="F72" s="12" t="s">
        <v>1807</v>
      </c>
      <c r="G72" s="12" t="s">
        <v>1797</v>
      </c>
      <c r="H72" s="12"/>
      <c r="I72" s="12" t="s">
        <v>118</v>
      </c>
      <c r="J72" s="12" t="s">
        <v>1798</v>
      </c>
    </row>
    <row r="73" customFormat="false" ht="23.85" hidden="false" customHeight="false" outlineLevel="0" collapsed="false">
      <c r="A73" s="12" t="s">
        <v>57</v>
      </c>
      <c r="B73" s="12" t="s">
        <v>283</v>
      </c>
      <c r="C73" s="12" t="s">
        <v>429</v>
      </c>
      <c r="D73" s="12" t="s">
        <v>430</v>
      </c>
      <c r="E73" s="12" t="s">
        <v>293</v>
      </c>
      <c r="F73" s="12" t="s">
        <v>1807</v>
      </c>
      <c r="G73" s="12" t="s">
        <v>1797</v>
      </c>
      <c r="H73" s="12"/>
      <c r="I73" s="12" t="s">
        <v>118</v>
      </c>
      <c r="J73" s="12" t="s">
        <v>1798</v>
      </c>
    </row>
    <row r="74" customFormat="false" ht="23.85" hidden="false" customHeight="false" outlineLevel="0" collapsed="false">
      <c r="A74" s="12" t="s">
        <v>57</v>
      </c>
      <c r="B74" s="12" t="s">
        <v>283</v>
      </c>
      <c r="C74" s="12" t="s">
        <v>431</v>
      </c>
      <c r="D74" s="12" t="s">
        <v>432</v>
      </c>
      <c r="E74" s="12" t="s">
        <v>293</v>
      </c>
      <c r="F74" s="12" t="s">
        <v>1807</v>
      </c>
      <c r="G74" s="12" t="s">
        <v>1797</v>
      </c>
      <c r="H74" s="12"/>
      <c r="I74" s="12" t="s">
        <v>118</v>
      </c>
      <c r="J74" s="12" t="s">
        <v>1798</v>
      </c>
    </row>
    <row r="75" customFormat="false" ht="23.85" hidden="false" customHeight="false" outlineLevel="0" collapsed="false">
      <c r="A75" s="12" t="s">
        <v>57</v>
      </c>
      <c r="B75" s="12" t="s">
        <v>283</v>
      </c>
      <c r="C75" s="12" t="s">
        <v>433</v>
      </c>
      <c r="D75" s="12" t="s">
        <v>434</v>
      </c>
      <c r="E75" s="12" t="s">
        <v>293</v>
      </c>
      <c r="F75" s="12" t="s">
        <v>1807</v>
      </c>
      <c r="G75" s="12" t="s">
        <v>1797</v>
      </c>
      <c r="H75" s="12"/>
      <c r="I75" s="12" t="s">
        <v>118</v>
      </c>
      <c r="J75" s="12" t="s">
        <v>1798</v>
      </c>
    </row>
    <row r="76" customFormat="false" ht="23.85" hidden="false" customHeight="false" outlineLevel="0" collapsed="false">
      <c r="A76" s="12" t="s">
        <v>57</v>
      </c>
      <c r="B76" s="12" t="s">
        <v>283</v>
      </c>
      <c r="C76" s="12" t="s">
        <v>435</v>
      </c>
      <c r="D76" s="12" t="s">
        <v>436</v>
      </c>
      <c r="E76" s="12" t="s">
        <v>293</v>
      </c>
      <c r="F76" s="12" t="s">
        <v>1807</v>
      </c>
      <c r="G76" s="12" t="s">
        <v>1797</v>
      </c>
      <c r="H76" s="12"/>
      <c r="I76" s="12" t="s">
        <v>118</v>
      </c>
      <c r="J76" s="12" t="s">
        <v>1798</v>
      </c>
    </row>
    <row r="77" customFormat="false" ht="35.05" hidden="false" customHeight="false" outlineLevel="0" collapsed="false">
      <c r="A77" s="12" t="s">
        <v>57</v>
      </c>
      <c r="B77" s="12" t="s">
        <v>283</v>
      </c>
      <c r="C77" s="12" t="s">
        <v>437</v>
      </c>
      <c r="D77" s="12" t="s">
        <v>438</v>
      </c>
      <c r="E77" s="12" t="s">
        <v>1796</v>
      </c>
      <c r="F77" s="12" t="s">
        <v>1807</v>
      </c>
      <c r="G77" s="12" t="s">
        <v>1797</v>
      </c>
      <c r="H77" s="12"/>
      <c r="I77" s="12" t="s">
        <v>118</v>
      </c>
      <c r="J77" s="12" t="s">
        <v>1798</v>
      </c>
    </row>
    <row r="78" customFormat="false" ht="23.85" hidden="false" customHeight="false" outlineLevel="0" collapsed="false">
      <c r="A78" s="12" t="s">
        <v>57</v>
      </c>
      <c r="B78" s="12" t="s">
        <v>283</v>
      </c>
      <c r="C78" s="12" t="s">
        <v>439</v>
      </c>
      <c r="D78" s="12" t="s">
        <v>440</v>
      </c>
      <c r="E78" s="12" t="s">
        <v>293</v>
      </c>
      <c r="F78" s="12" t="s">
        <v>1807</v>
      </c>
      <c r="G78" s="12" t="s">
        <v>1797</v>
      </c>
      <c r="H78" s="12"/>
      <c r="I78" s="12" t="s">
        <v>118</v>
      </c>
      <c r="J78" s="12" t="s">
        <v>1798</v>
      </c>
    </row>
    <row r="79" customFormat="false" ht="23.85" hidden="false" customHeight="false" outlineLevel="0" collapsed="false">
      <c r="A79" s="12" t="s">
        <v>57</v>
      </c>
      <c r="B79" s="12" t="s">
        <v>283</v>
      </c>
      <c r="C79" s="12" t="s">
        <v>441</v>
      </c>
      <c r="D79" s="12" t="s">
        <v>442</v>
      </c>
      <c r="E79" s="12" t="s">
        <v>293</v>
      </c>
      <c r="F79" s="12" t="s">
        <v>1807</v>
      </c>
      <c r="G79" s="12" t="s">
        <v>1797</v>
      </c>
      <c r="H79" s="12"/>
      <c r="I79" s="12" t="s">
        <v>118</v>
      </c>
      <c r="J79" s="12" t="s">
        <v>1798</v>
      </c>
    </row>
    <row r="80" customFormat="false" ht="23.85" hidden="false" customHeight="false" outlineLevel="0" collapsed="false">
      <c r="A80" s="12" t="s">
        <v>57</v>
      </c>
      <c r="B80" s="12" t="s">
        <v>283</v>
      </c>
      <c r="C80" s="12" t="s">
        <v>443</v>
      </c>
      <c r="D80" s="12" t="s">
        <v>444</v>
      </c>
      <c r="E80" s="12" t="s">
        <v>293</v>
      </c>
      <c r="F80" s="12" t="s">
        <v>1807</v>
      </c>
      <c r="G80" s="12" t="s">
        <v>1797</v>
      </c>
      <c r="H80" s="12"/>
      <c r="I80" s="12" t="s">
        <v>118</v>
      </c>
      <c r="J80" s="12" t="s">
        <v>1798</v>
      </c>
    </row>
    <row r="81" customFormat="false" ht="23.85" hidden="false" customHeight="false" outlineLevel="0" collapsed="false">
      <c r="A81" s="12" t="s">
        <v>57</v>
      </c>
      <c r="B81" s="12" t="s">
        <v>283</v>
      </c>
      <c r="C81" s="12" t="s">
        <v>445</v>
      </c>
      <c r="D81" s="12" t="s">
        <v>446</v>
      </c>
      <c r="E81" s="12" t="s">
        <v>293</v>
      </c>
      <c r="F81" s="12" t="s">
        <v>1807</v>
      </c>
      <c r="G81" s="12" t="s">
        <v>1797</v>
      </c>
      <c r="H81" s="12"/>
      <c r="I81" s="12" t="s">
        <v>118</v>
      </c>
      <c r="J81" s="12" t="s">
        <v>1798</v>
      </c>
    </row>
    <row r="82" customFormat="false" ht="35.05" hidden="false" customHeight="false" outlineLevel="0" collapsed="false">
      <c r="A82" s="12" t="s">
        <v>57</v>
      </c>
      <c r="B82" s="12" t="s">
        <v>283</v>
      </c>
      <c r="C82" s="12" t="s">
        <v>447</v>
      </c>
      <c r="D82" s="12" t="s">
        <v>448</v>
      </c>
      <c r="E82" s="12" t="s">
        <v>1796</v>
      </c>
      <c r="F82" s="12" t="s">
        <v>1807</v>
      </c>
      <c r="G82" s="12" t="s">
        <v>1797</v>
      </c>
      <c r="H82" s="12"/>
      <c r="I82" s="12" t="s">
        <v>118</v>
      </c>
      <c r="J82" s="12" t="s">
        <v>1798</v>
      </c>
    </row>
    <row r="83" customFormat="false" ht="23.85" hidden="false" customHeight="false" outlineLevel="0" collapsed="false">
      <c r="A83" s="12" t="s">
        <v>57</v>
      </c>
      <c r="B83" s="12" t="s">
        <v>283</v>
      </c>
      <c r="C83" s="12" t="s">
        <v>449</v>
      </c>
      <c r="D83" s="12" t="s">
        <v>450</v>
      </c>
      <c r="E83" s="12" t="s">
        <v>293</v>
      </c>
      <c r="F83" s="12" t="s">
        <v>1807</v>
      </c>
      <c r="G83" s="12" t="s">
        <v>1797</v>
      </c>
      <c r="H83" s="12"/>
      <c r="I83" s="12" t="s">
        <v>118</v>
      </c>
      <c r="J83" s="12" t="s">
        <v>1798</v>
      </c>
    </row>
    <row r="84" customFormat="false" ht="23.85" hidden="false" customHeight="false" outlineLevel="0" collapsed="false">
      <c r="A84" s="12" t="s">
        <v>57</v>
      </c>
      <c r="B84" s="12" t="s">
        <v>283</v>
      </c>
      <c r="C84" s="12" t="s">
        <v>451</v>
      </c>
      <c r="D84" s="12" t="s">
        <v>452</v>
      </c>
      <c r="E84" s="12" t="s">
        <v>293</v>
      </c>
      <c r="F84" s="12" t="s">
        <v>1807</v>
      </c>
      <c r="G84" s="12" t="s">
        <v>1797</v>
      </c>
      <c r="H84" s="12"/>
      <c r="I84" s="12" t="s">
        <v>118</v>
      </c>
      <c r="J84" s="12" t="s">
        <v>1798</v>
      </c>
    </row>
    <row r="85" customFormat="false" ht="23.85" hidden="false" customHeight="false" outlineLevel="0" collapsed="false">
      <c r="A85" s="12" t="s">
        <v>57</v>
      </c>
      <c r="B85" s="12" t="s">
        <v>283</v>
      </c>
      <c r="C85" s="12" t="s">
        <v>453</v>
      </c>
      <c r="D85" s="12" t="s">
        <v>454</v>
      </c>
      <c r="E85" s="12" t="s">
        <v>293</v>
      </c>
      <c r="F85" s="12" t="s">
        <v>1807</v>
      </c>
      <c r="G85" s="12" t="s">
        <v>1797</v>
      </c>
      <c r="H85" s="12"/>
      <c r="I85" s="12" t="s">
        <v>118</v>
      </c>
      <c r="J85" s="12" t="s">
        <v>1798</v>
      </c>
    </row>
    <row r="86" customFormat="false" ht="23.85" hidden="false" customHeight="false" outlineLevel="0" collapsed="false">
      <c r="A86" s="12" t="s">
        <v>57</v>
      </c>
      <c r="B86" s="12" t="s">
        <v>283</v>
      </c>
      <c r="C86" s="12" t="s">
        <v>455</v>
      </c>
      <c r="D86" s="12" t="s">
        <v>456</v>
      </c>
      <c r="E86" s="12" t="s">
        <v>293</v>
      </c>
      <c r="F86" s="12" t="s">
        <v>1807</v>
      </c>
      <c r="G86" s="12" t="s">
        <v>1797</v>
      </c>
      <c r="H86" s="12"/>
      <c r="I86" s="12" t="s">
        <v>118</v>
      </c>
      <c r="J86" s="12" t="s">
        <v>1798</v>
      </c>
    </row>
    <row r="87" customFormat="false" ht="23.85" hidden="false" customHeight="false" outlineLevel="0" collapsed="false">
      <c r="A87" s="12" t="s">
        <v>57</v>
      </c>
      <c r="B87" s="12" t="s">
        <v>283</v>
      </c>
      <c r="C87" s="12" t="s">
        <v>457</v>
      </c>
      <c r="D87" s="12" t="s">
        <v>458</v>
      </c>
      <c r="E87" s="12" t="s">
        <v>293</v>
      </c>
      <c r="F87" s="12" t="s">
        <v>1807</v>
      </c>
      <c r="G87" s="12" t="s">
        <v>1797</v>
      </c>
      <c r="H87" s="12"/>
      <c r="I87" s="12" t="s">
        <v>118</v>
      </c>
      <c r="J87" s="12" t="s">
        <v>1798</v>
      </c>
    </row>
    <row r="88" customFormat="false" ht="23.85" hidden="false" customHeight="false" outlineLevel="0" collapsed="false">
      <c r="A88" s="12" t="s">
        <v>57</v>
      </c>
      <c r="B88" s="12" t="s">
        <v>283</v>
      </c>
      <c r="C88" s="12" t="s">
        <v>459</v>
      </c>
      <c r="D88" s="12" t="s">
        <v>460</v>
      </c>
      <c r="E88" s="12" t="s">
        <v>293</v>
      </c>
      <c r="F88" s="12" t="s">
        <v>1807</v>
      </c>
      <c r="G88" s="12" t="s">
        <v>1797</v>
      </c>
      <c r="H88" s="12"/>
      <c r="I88" s="12" t="s">
        <v>118</v>
      </c>
      <c r="J88" s="12" t="s">
        <v>1798</v>
      </c>
    </row>
    <row r="89" customFormat="false" ht="23.85" hidden="false" customHeight="false" outlineLevel="0" collapsed="false">
      <c r="A89" s="12" t="s">
        <v>57</v>
      </c>
      <c r="B89" s="12" t="s">
        <v>283</v>
      </c>
      <c r="C89" s="12" t="s">
        <v>461</v>
      </c>
      <c r="D89" s="12" t="s">
        <v>462</v>
      </c>
      <c r="E89" s="12" t="s">
        <v>293</v>
      </c>
      <c r="F89" s="12" t="s">
        <v>1807</v>
      </c>
      <c r="G89" s="12" t="s">
        <v>1797</v>
      </c>
      <c r="H89" s="12"/>
      <c r="I89" s="12" t="s">
        <v>118</v>
      </c>
      <c r="J89" s="12" t="s">
        <v>1798</v>
      </c>
    </row>
    <row r="90" customFormat="false" ht="35.05" hidden="false" customHeight="false" outlineLevel="0" collapsed="false">
      <c r="A90" s="12" t="s">
        <v>57</v>
      </c>
      <c r="B90" s="12" t="s">
        <v>283</v>
      </c>
      <c r="C90" s="12" t="s">
        <v>463</v>
      </c>
      <c r="D90" s="12" t="s">
        <v>464</v>
      </c>
      <c r="E90" s="12" t="s">
        <v>1796</v>
      </c>
      <c r="F90" s="12" t="s">
        <v>1807</v>
      </c>
      <c r="G90" s="12" t="s">
        <v>1797</v>
      </c>
      <c r="H90" s="12"/>
      <c r="I90" s="12" t="s">
        <v>118</v>
      </c>
      <c r="J90" s="12" t="s">
        <v>1798</v>
      </c>
    </row>
    <row r="91" customFormat="false" ht="23.85" hidden="false" customHeight="false" outlineLevel="0" collapsed="false">
      <c r="A91" s="12" t="s">
        <v>57</v>
      </c>
      <c r="B91" s="12" t="s">
        <v>283</v>
      </c>
      <c r="C91" s="12" t="s">
        <v>465</v>
      </c>
      <c r="D91" s="12" t="s">
        <v>466</v>
      </c>
      <c r="E91" s="12" t="s">
        <v>293</v>
      </c>
      <c r="F91" s="12" t="s">
        <v>1807</v>
      </c>
      <c r="G91" s="12" t="s">
        <v>1797</v>
      </c>
      <c r="H91" s="12"/>
      <c r="I91" s="12" t="s">
        <v>118</v>
      </c>
      <c r="J91" s="12" t="s">
        <v>1798</v>
      </c>
    </row>
    <row r="92" customFormat="false" ht="23.85" hidden="false" customHeight="false" outlineLevel="0" collapsed="false">
      <c r="A92" s="12" t="s">
        <v>57</v>
      </c>
      <c r="B92" s="12" t="s">
        <v>283</v>
      </c>
      <c r="C92" s="12" t="s">
        <v>467</v>
      </c>
      <c r="D92" s="12" t="s">
        <v>468</v>
      </c>
      <c r="E92" s="12" t="s">
        <v>293</v>
      </c>
      <c r="F92" s="12" t="s">
        <v>1807</v>
      </c>
      <c r="G92" s="12" t="s">
        <v>1797</v>
      </c>
      <c r="H92" s="12"/>
      <c r="I92" s="12" t="s">
        <v>118</v>
      </c>
      <c r="J92" s="12" t="s">
        <v>1798</v>
      </c>
    </row>
    <row r="93" customFormat="false" ht="23.85" hidden="false" customHeight="false" outlineLevel="0" collapsed="false">
      <c r="A93" s="12" t="s">
        <v>57</v>
      </c>
      <c r="B93" s="12" t="s">
        <v>283</v>
      </c>
      <c r="C93" s="12" t="s">
        <v>469</v>
      </c>
      <c r="D93" s="12" t="s">
        <v>470</v>
      </c>
      <c r="E93" s="12" t="s">
        <v>293</v>
      </c>
      <c r="F93" s="12" t="s">
        <v>1807</v>
      </c>
      <c r="G93" s="12" t="s">
        <v>1797</v>
      </c>
      <c r="H93" s="12"/>
      <c r="I93" s="12" t="s">
        <v>118</v>
      </c>
      <c r="J93" s="12" t="s">
        <v>1798</v>
      </c>
    </row>
    <row r="94" customFormat="false" ht="23.85" hidden="false" customHeight="false" outlineLevel="0" collapsed="false">
      <c r="A94" s="12" t="s">
        <v>57</v>
      </c>
      <c r="B94" s="12" t="s">
        <v>283</v>
      </c>
      <c r="C94" s="12" t="s">
        <v>471</v>
      </c>
      <c r="D94" s="12" t="s">
        <v>472</v>
      </c>
      <c r="E94" s="12" t="s">
        <v>293</v>
      </c>
      <c r="F94" s="12" t="s">
        <v>1807</v>
      </c>
      <c r="G94" s="12" t="s">
        <v>1797</v>
      </c>
      <c r="H94" s="12"/>
      <c r="I94" s="12" t="s">
        <v>118</v>
      </c>
      <c r="J94" s="12" t="s">
        <v>1798</v>
      </c>
    </row>
    <row r="95" customFormat="false" ht="23.85" hidden="false" customHeight="false" outlineLevel="0" collapsed="false">
      <c r="A95" s="12" t="s">
        <v>57</v>
      </c>
      <c r="B95" s="12" t="s">
        <v>283</v>
      </c>
      <c r="C95" s="12" t="s">
        <v>473</v>
      </c>
      <c r="D95" s="12" t="s">
        <v>474</v>
      </c>
      <c r="E95" s="12" t="s">
        <v>293</v>
      </c>
      <c r="F95" s="12" t="s">
        <v>1807</v>
      </c>
      <c r="G95" s="12" t="s">
        <v>1797</v>
      </c>
      <c r="H95" s="12"/>
      <c r="I95" s="12" t="s">
        <v>118</v>
      </c>
      <c r="J95" s="12" t="s">
        <v>1798</v>
      </c>
    </row>
    <row r="96" customFormat="false" ht="23.85" hidden="false" customHeight="false" outlineLevel="0" collapsed="false">
      <c r="A96" s="12" t="s">
        <v>57</v>
      </c>
      <c r="B96" s="12" t="s">
        <v>283</v>
      </c>
      <c r="C96" s="12" t="s">
        <v>475</v>
      </c>
      <c r="D96" s="12" t="s">
        <v>476</v>
      </c>
      <c r="E96" s="12" t="s">
        <v>293</v>
      </c>
      <c r="F96" s="12" t="s">
        <v>1807</v>
      </c>
      <c r="G96" s="12" t="s">
        <v>1797</v>
      </c>
      <c r="H96" s="12"/>
      <c r="I96" s="12" t="s">
        <v>118</v>
      </c>
      <c r="J96" s="12" t="s">
        <v>1798</v>
      </c>
    </row>
    <row r="97" customFormat="false" ht="23.85" hidden="false" customHeight="false" outlineLevel="0" collapsed="false">
      <c r="A97" s="12" t="s">
        <v>57</v>
      </c>
      <c r="B97" s="12" t="s">
        <v>283</v>
      </c>
      <c r="C97" s="12" t="s">
        <v>477</v>
      </c>
      <c r="D97" s="12" t="s">
        <v>478</v>
      </c>
      <c r="E97" s="12" t="s">
        <v>293</v>
      </c>
      <c r="F97" s="12" t="s">
        <v>1807</v>
      </c>
      <c r="G97" s="12" t="s">
        <v>1797</v>
      </c>
      <c r="H97" s="12"/>
      <c r="I97" s="12" t="s">
        <v>118</v>
      </c>
      <c r="J97" s="12" t="s">
        <v>1798</v>
      </c>
    </row>
    <row r="98" customFormat="false" ht="23.85" hidden="false" customHeight="false" outlineLevel="0" collapsed="false">
      <c r="A98" s="12" t="s">
        <v>57</v>
      </c>
      <c r="B98" s="12" t="s">
        <v>283</v>
      </c>
      <c r="C98" s="12" t="s">
        <v>479</v>
      </c>
      <c r="D98" s="12" t="s">
        <v>480</v>
      </c>
      <c r="E98" s="12" t="s">
        <v>293</v>
      </c>
      <c r="F98" s="12" t="s">
        <v>1807</v>
      </c>
      <c r="G98" s="12" t="s">
        <v>1797</v>
      </c>
      <c r="H98" s="12"/>
      <c r="I98" s="12" t="s">
        <v>118</v>
      </c>
      <c r="J98" s="12" t="s">
        <v>1798</v>
      </c>
    </row>
    <row r="99" customFormat="false" ht="23.85" hidden="false" customHeight="false" outlineLevel="0" collapsed="false">
      <c r="A99" s="12" t="s">
        <v>57</v>
      </c>
      <c r="B99" s="12" t="s">
        <v>283</v>
      </c>
      <c r="C99" s="12" t="s">
        <v>481</v>
      </c>
      <c r="D99" s="12" t="s">
        <v>482</v>
      </c>
      <c r="E99" s="12" t="s">
        <v>293</v>
      </c>
      <c r="F99" s="12" t="s">
        <v>1807</v>
      </c>
      <c r="G99" s="12" t="s">
        <v>1797</v>
      </c>
      <c r="H99" s="12"/>
      <c r="I99" s="12" t="s">
        <v>118</v>
      </c>
      <c r="J99" s="12" t="s">
        <v>1798</v>
      </c>
    </row>
    <row r="100" customFormat="false" ht="35.05" hidden="false" customHeight="false" outlineLevel="0" collapsed="false">
      <c r="A100" s="12" t="s">
        <v>57</v>
      </c>
      <c r="B100" s="12" t="s">
        <v>283</v>
      </c>
      <c r="C100" s="12" t="s">
        <v>483</v>
      </c>
      <c r="D100" s="12" t="s">
        <v>484</v>
      </c>
      <c r="E100" s="12" t="s">
        <v>1796</v>
      </c>
      <c r="F100" s="12" t="s">
        <v>1807</v>
      </c>
      <c r="G100" s="12" t="s">
        <v>1797</v>
      </c>
      <c r="H100" s="12"/>
      <c r="I100" s="12" t="s">
        <v>118</v>
      </c>
      <c r="J100" s="12" t="s">
        <v>1798</v>
      </c>
    </row>
    <row r="101" customFormat="false" ht="35.05" hidden="false" customHeight="false" outlineLevel="0" collapsed="false">
      <c r="A101" s="12" t="s">
        <v>57</v>
      </c>
      <c r="B101" s="12" t="s">
        <v>283</v>
      </c>
      <c r="C101" s="12" t="s">
        <v>485</v>
      </c>
      <c r="D101" s="12" t="s">
        <v>486</v>
      </c>
      <c r="E101" s="12" t="s">
        <v>1796</v>
      </c>
      <c r="F101" s="12" t="s">
        <v>1807</v>
      </c>
      <c r="G101" s="12" t="s">
        <v>1803</v>
      </c>
      <c r="H101" s="12" t="s">
        <v>1808</v>
      </c>
      <c r="I101" s="12" t="s">
        <v>118</v>
      </c>
      <c r="J101" s="12" t="s">
        <v>1798</v>
      </c>
    </row>
    <row r="102" customFormat="false" ht="23.85" hidden="false" customHeight="false" outlineLevel="0" collapsed="false">
      <c r="A102" s="12" t="s">
        <v>57</v>
      </c>
      <c r="B102" s="12" t="s">
        <v>283</v>
      </c>
      <c r="C102" s="12" t="s">
        <v>487</v>
      </c>
      <c r="D102" s="12" t="s">
        <v>488</v>
      </c>
      <c r="E102" s="12" t="s">
        <v>293</v>
      </c>
      <c r="F102" s="12" t="s">
        <v>1807</v>
      </c>
      <c r="G102" s="12" t="s">
        <v>1803</v>
      </c>
      <c r="H102" s="12" t="s">
        <v>1808</v>
      </c>
      <c r="I102" s="12" t="s">
        <v>118</v>
      </c>
      <c r="J102" s="12" t="s">
        <v>1798</v>
      </c>
    </row>
    <row r="103" customFormat="false" ht="23.85" hidden="false" customHeight="false" outlineLevel="0" collapsed="false">
      <c r="A103" s="12" t="s">
        <v>57</v>
      </c>
      <c r="B103" s="12" t="s">
        <v>283</v>
      </c>
      <c r="C103" s="12" t="s">
        <v>489</v>
      </c>
      <c r="D103" s="12" t="s">
        <v>490</v>
      </c>
      <c r="E103" s="12" t="s">
        <v>293</v>
      </c>
      <c r="F103" s="12" t="s">
        <v>1807</v>
      </c>
      <c r="G103" s="12" t="s">
        <v>1803</v>
      </c>
      <c r="H103" s="12" t="s">
        <v>1808</v>
      </c>
      <c r="I103" s="12" t="s">
        <v>118</v>
      </c>
      <c r="J103" s="12" t="s">
        <v>1798</v>
      </c>
    </row>
    <row r="104" customFormat="false" ht="23.85" hidden="false" customHeight="false" outlineLevel="0" collapsed="false">
      <c r="A104" s="12" t="s">
        <v>57</v>
      </c>
      <c r="B104" s="12" t="s">
        <v>283</v>
      </c>
      <c r="C104" s="12" t="s">
        <v>491</v>
      </c>
      <c r="D104" s="12" t="s">
        <v>492</v>
      </c>
      <c r="E104" s="12" t="s">
        <v>293</v>
      </c>
      <c r="F104" s="12" t="s">
        <v>1807</v>
      </c>
      <c r="G104" s="12" t="s">
        <v>1803</v>
      </c>
      <c r="H104" s="12" t="s">
        <v>1808</v>
      </c>
      <c r="I104" s="12" t="s">
        <v>118</v>
      </c>
      <c r="J104" s="12" t="s">
        <v>1798</v>
      </c>
    </row>
    <row r="105" customFormat="false" ht="23.85" hidden="false" customHeight="false" outlineLevel="0" collapsed="false">
      <c r="A105" s="12" t="s">
        <v>57</v>
      </c>
      <c r="B105" s="12" t="s">
        <v>283</v>
      </c>
      <c r="C105" s="12" t="s">
        <v>493</v>
      </c>
      <c r="D105" s="12" t="s">
        <v>494</v>
      </c>
      <c r="E105" s="12" t="s">
        <v>293</v>
      </c>
      <c r="F105" s="12" t="s">
        <v>1807</v>
      </c>
      <c r="G105" s="12" t="s">
        <v>1803</v>
      </c>
      <c r="H105" s="12" t="s">
        <v>1808</v>
      </c>
      <c r="I105" s="12" t="s">
        <v>118</v>
      </c>
      <c r="J105" s="12" t="s">
        <v>1798</v>
      </c>
    </row>
    <row r="106" customFormat="false" ht="23.85" hidden="false" customHeight="false" outlineLevel="0" collapsed="false">
      <c r="A106" s="12" t="s">
        <v>57</v>
      </c>
      <c r="B106" s="12" t="s">
        <v>283</v>
      </c>
      <c r="C106" s="12" t="s">
        <v>495</v>
      </c>
      <c r="D106" s="12" t="s">
        <v>496</v>
      </c>
      <c r="E106" s="12" t="s">
        <v>293</v>
      </c>
      <c r="F106" s="12" t="s">
        <v>1807</v>
      </c>
      <c r="G106" s="12" t="s">
        <v>1803</v>
      </c>
      <c r="H106" s="12" t="s">
        <v>1809</v>
      </c>
      <c r="I106" s="12" t="s">
        <v>118</v>
      </c>
      <c r="J106" s="12" t="s">
        <v>1798</v>
      </c>
    </row>
    <row r="107" customFormat="false" ht="23.85" hidden="false" customHeight="false" outlineLevel="0" collapsed="false">
      <c r="A107" s="12" t="s">
        <v>57</v>
      </c>
      <c r="B107" s="12" t="s">
        <v>283</v>
      </c>
      <c r="C107" s="12" t="s">
        <v>497</v>
      </c>
      <c r="D107" s="12" t="s">
        <v>498</v>
      </c>
      <c r="E107" s="12" t="s">
        <v>293</v>
      </c>
      <c r="F107" s="12" t="s">
        <v>1807</v>
      </c>
      <c r="G107" s="12" t="s">
        <v>1797</v>
      </c>
      <c r="H107" s="12"/>
      <c r="I107" s="12" t="s">
        <v>118</v>
      </c>
      <c r="J107" s="12" t="s">
        <v>1798</v>
      </c>
    </row>
    <row r="108" customFormat="false" ht="35.05" hidden="false" customHeight="false" outlineLevel="0" collapsed="false">
      <c r="A108" s="12" t="s">
        <v>57</v>
      </c>
      <c r="B108" s="12" t="s">
        <v>283</v>
      </c>
      <c r="C108" s="12" t="s">
        <v>499</v>
      </c>
      <c r="D108" s="12" t="s">
        <v>500</v>
      </c>
      <c r="E108" s="12" t="s">
        <v>1796</v>
      </c>
      <c r="F108" s="12" t="s">
        <v>1810</v>
      </c>
      <c r="G108" s="12" t="s">
        <v>1797</v>
      </c>
      <c r="H108" s="12"/>
      <c r="I108" s="12" t="s">
        <v>118</v>
      </c>
      <c r="J108" s="12" t="s">
        <v>1798</v>
      </c>
    </row>
    <row r="109" customFormat="false" ht="35.05" hidden="false" customHeight="false" outlineLevel="0" collapsed="false">
      <c r="A109" s="12" t="s">
        <v>57</v>
      </c>
      <c r="B109" s="12" t="s">
        <v>283</v>
      </c>
      <c r="C109" s="12" t="s">
        <v>501</v>
      </c>
      <c r="D109" s="12" t="s">
        <v>502</v>
      </c>
      <c r="E109" s="12" t="s">
        <v>1796</v>
      </c>
      <c r="F109" s="12" t="s">
        <v>1810</v>
      </c>
      <c r="G109" s="12" t="s">
        <v>1797</v>
      </c>
      <c r="H109" s="12"/>
      <c r="I109" s="12" t="s">
        <v>118</v>
      </c>
      <c r="J109" s="12" t="s">
        <v>1798</v>
      </c>
    </row>
    <row r="110" customFormat="false" ht="23.85" hidden="false" customHeight="false" outlineLevel="0" collapsed="false">
      <c r="A110" s="12" t="s">
        <v>57</v>
      </c>
      <c r="B110" s="12" t="s">
        <v>283</v>
      </c>
      <c r="C110" s="12" t="s">
        <v>503</v>
      </c>
      <c r="D110" s="12" t="s">
        <v>504</v>
      </c>
      <c r="E110" s="12" t="s">
        <v>293</v>
      </c>
      <c r="F110" s="12" t="s">
        <v>1810</v>
      </c>
      <c r="G110" s="12" t="s">
        <v>1797</v>
      </c>
      <c r="H110" s="12"/>
      <c r="I110" s="12" t="s">
        <v>118</v>
      </c>
      <c r="J110" s="12" t="s">
        <v>1798</v>
      </c>
    </row>
    <row r="111" customFormat="false" ht="35.05" hidden="false" customHeight="false" outlineLevel="0" collapsed="false">
      <c r="A111" s="12" t="s">
        <v>57</v>
      </c>
      <c r="B111" s="12" t="s">
        <v>283</v>
      </c>
      <c r="C111" s="12" t="s">
        <v>505</v>
      </c>
      <c r="D111" s="12" t="s">
        <v>506</v>
      </c>
      <c r="E111" s="12" t="s">
        <v>1796</v>
      </c>
      <c r="F111" s="12" t="s">
        <v>1810</v>
      </c>
      <c r="G111" s="12" t="s">
        <v>1797</v>
      </c>
      <c r="H111" s="12"/>
      <c r="I111" s="12" t="s">
        <v>118</v>
      </c>
      <c r="J111" s="12" t="s">
        <v>1798</v>
      </c>
    </row>
    <row r="112" customFormat="false" ht="23.85" hidden="false" customHeight="false" outlineLevel="0" collapsed="false">
      <c r="A112" s="12" t="s">
        <v>57</v>
      </c>
      <c r="B112" s="12" t="s">
        <v>283</v>
      </c>
      <c r="C112" s="12" t="s">
        <v>507</v>
      </c>
      <c r="D112" s="12" t="s">
        <v>508</v>
      </c>
      <c r="E112" s="12" t="s">
        <v>293</v>
      </c>
      <c r="F112" s="12" t="s">
        <v>1810</v>
      </c>
      <c r="G112" s="12" t="s">
        <v>1797</v>
      </c>
      <c r="H112" s="12"/>
      <c r="I112" s="12" t="s">
        <v>118</v>
      </c>
      <c r="J112" s="12" t="s">
        <v>1798</v>
      </c>
    </row>
    <row r="113" customFormat="false" ht="23.85" hidden="false" customHeight="false" outlineLevel="0" collapsed="false">
      <c r="A113" s="12" t="s">
        <v>57</v>
      </c>
      <c r="B113" s="12" t="s">
        <v>283</v>
      </c>
      <c r="C113" s="12" t="s">
        <v>509</v>
      </c>
      <c r="D113" s="12" t="s">
        <v>510</v>
      </c>
      <c r="E113" s="12" t="s">
        <v>293</v>
      </c>
      <c r="F113" s="12" t="s">
        <v>1810</v>
      </c>
      <c r="G113" s="12" t="s">
        <v>1797</v>
      </c>
      <c r="H113" s="12"/>
      <c r="I113" s="12" t="s">
        <v>118</v>
      </c>
      <c r="J113" s="12" t="s">
        <v>1798</v>
      </c>
    </row>
    <row r="114" customFormat="false" ht="23.85" hidden="false" customHeight="false" outlineLevel="0" collapsed="false">
      <c r="A114" s="12" t="s">
        <v>57</v>
      </c>
      <c r="B114" s="12" t="s">
        <v>283</v>
      </c>
      <c r="C114" s="12" t="s">
        <v>511</v>
      </c>
      <c r="D114" s="12" t="s">
        <v>512</v>
      </c>
      <c r="E114" s="12" t="s">
        <v>293</v>
      </c>
      <c r="F114" s="12" t="s">
        <v>1810</v>
      </c>
      <c r="G114" s="12" t="s">
        <v>1797</v>
      </c>
      <c r="H114" s="12"/>
      <c r="I114" s="12" t="s">
        <v>118</v>
      </c>
      <c r="J114" s="12" t="s">
        <v>1798</v>
      </c>
    </row>
    <row r="115" customFormat="false" ht="23.85" hidden="false" customHeight="false" outlineLevel="0" collapsed="false">
      <c r="A115" s="12" t="s">
        <v>57</v>
      </c>
      <c r="B115" s="12" t="s">
        <v>283</v>
      </c>
      <c r="C115" s="12" t="s">
        <v>513</v>
      </c>
      <c r="D115" s="12" t="s">
        <v>514</v>
      </c>
      <c r="E115" s="12" t="s">
        <v>293</v>
      </c>
      <c r="F115" s="12" t="s">
        <v>1810</v>
      </c>
      <c r="G115" s="12" t="s">
        <v>1797</v>
      </c>
      <c r="H115" s="12"/>
      <c r="I115" s="12" t="s">
        <v>118</v>
      </c>
      <c r="J115" s="12" t="s">
        <v>1798</v>
      </c>
    </row>
    <row r="116" customFormat="false" ht="23.85" hidden="false" customHeight="false" outlineLevel="0" collapsed="false">
      <c r="A116" s="12" t="s">
        <v>57</v>
      </c>
      <c r="B116" s="12" t="s">
        <v>283</v>
      </c>
      <c r="C116" s="12" t="s">
        <v>515</v>
      </c>
      <c r="D116" s="12" t="s">
        <v>516</v>
      </c>
      <c r="E116" s="12" t="s">
        <v>293</v>
      </c>
      <c r="F116" s="12" t="s">
        <v>1810</v>
      </c>
      <c r="G116" s="12" t="s">
        <v>1797</v>
      </c>
      <c r="H116" s="12"/>
      <c r="I116" s="12" t="s">
        <v>118</v>
      </c>
      <c r="J116" s="12" t="s">
        <v>1798</v>
      </c>
    </row>
    <row r="117" customFormat="false" ht="35.05" hidden="false" customHeight="false" outlineLevel="0" collapsed="false">
      <c r="A117" s="12" t="s">
        <v>57</v>
      </c>
      <c r="B117" s="12" t="s">
        <v>283</v>
      </c>
      <c r="C117" s="12" t="s">
        <v>517</v>
      </c>
      <c r="D117" s="12" t="s">
        <v>518</v>
      </c>
      <c r="E117" s="12" t="s">
        <v>1796</v>
      </c>
      <c r="F117" s="12" t="s">
        <v>1810</v>
      </c>
      <c r="G117" s="12" t="s">
        <v>1797</v>
      </c>
      <c r="H117" s="12"/>
      <c r="I117" s="12" t="s">
        <v>118</v>
      </c>
      <c r="J117" s="12" t="s">
        <v>1798</v>
      </c>
    </row>
    <row r="118" customFormat="false" ht="23.85" hidden="false" customHeight="false" outlineLevel="0" collapsed="false">
      <c r="A118" s="12" t="s">
        <v>57</v>
      </c>
      <c r="B118" s="12" t="s">
        <v>283</v>
      </c>
      <c r="C118" s="12" t="s">
        <v>519</v>
      </c>
      <c r="D118" s="12" t="s">
        <v>520</v>
      </c>
      <c r="E118" s="12" t="s">
        <v>293</v>
      </c>
      <c r="F118" s="12" t="s">
        <v>1810</v>
      </c>
      <c r="G118" s="12" t="s">
        <v>1797</v>
      </c>
      <c r="H118" s="12"/>
      <c r="I118" s="12" t="s">
        <v>118</v>
      </c>
      <c r="J118" s="12" t="s">
        <v>1798</v>
      </c>
    </row>
    <row r="119" customFormat="false" ht="23.85" hidden="false" customHeight="false" outlineLevel="0" collapsed="false">
      <c r="A119" s="12" t="s">
        <v>57</v>
      </c>
      <c r="B119" s="12" t="s">
        <v>283</v>
      </c>
      <c r="C119" s="12" t="s">
        <v>521</v>
      </c>
      <c r="D119" s="12" t="s">
        <v>522</v>
      </c>
      <c r="E119" s="12" t="s">
        <v>293</v>
      </c>
      <c r="F119" s="12" t="s">
        <v>1810</v>
      </c>
      <c r="G119" s="12" t="s">
        <v>1797</v>
      </c>
      <c r="H119" s="12"/>
      <c r="I119" s="12" t="s">
        <v>118</v>
      </c>
      <c r="J119" s="12" t="s">
        <v>1798</v>
      </c>
    </row>
    <row r="120" customFormat="false" ht="23.85" hidden="false" customHeight="false" outlineLevel="0" collapsed="false">
      <c r="A120" s="12" t="s">
        <v>57</v>
      </c>
      <c r="B120" s="12" t="s">
        <v>283</v>
      </c>
      <c r="C120" s="12" t="s">
        <v>523</v>
      </c>
      <c r="D120" s="12" t="s">
        <v>524</v>
      </c>
      <c r="E120" s="12" t="s">
        <v>293</v>
      </c>
      <c r="F120" s="12" t="s">
        <v>1810</v>
      </c>
      <c r="G120" s="12" t="s">
        <v>1797</v>
      </c>
      <c r="H120" s="12"/>
      <c r="I120" s="12" t="s">
        <v>118</v>
      </c>
      <c r="J120" s="12" t="s">
        <v>1798</v>
      </c>
    </row>
    <row r="121" customFormat="false" ht="23.85" hidden="false" customHeight="false" outlineLevel="0" collapsed="false">
      <c r="A121" s="12" t="s">
        <v>57</v>
      </c>
      <c r="B121" s="12" t="s">
        <v>283</v>
      </c>
      <c r="C121" s="12" t="s">
        <v>525</v>
      </c>
      <c r="D121" s="12" t="s">
        <v>526</v>
      </c>
      <c r="E121" s="12" t="s">
        <v>293</v>
      </c>
      <c r="F121" s="12" t="s">
        <v>1810</v>
      </c>
      <c r="G121" s="12" t="s">
        <v>1797</v>
      </c>
      <c r="H121" s="12"/>
      <c r="I121" s="12" t="s">
        <v>118</v>
      </c>
      <c r="J121" s="12" t="s">
        <v>1798</v>
      </c>
    </row>
    <row r="122" customFormat="false" ht="23.85" hidden="false" customHeight="false" outlineLevel="0" collapsed="false">
      <c r="A122" s="12" t="s">
        <v>57</v>
      </c>
      <c r="B122" s="12" t="s">
        <v>283</v>
      </c>
      <c r="C122" s="12" t="s">
        <v>527</v>
      </c>
      <c r="D122" s="12" t="s">
        <v>528</v>
      </c>
      <c r="E122" s="12" t="s">
        <v>293</v>
      </c>
      <c r="F122" s="12" t="s">
        <v>1810</v>
      </c>
      <c r="G122" s="12" t="s">
        <v>1797</v>
      </c>
      <c r="H122" s="12"/>
      <c r="I122" s="12" t="s">
        <v>118</v>
      </c>
      <c r="J122" s="12" t="s">
        <v>1798</v>
      </c>
    </row>
    <row r="123" customFormat="false" ht="35.05" hidden="false" customHeight="false" outlineLevel="0" collapsed="false">
      <c r="A123" s="12" t="s">
        <v>57</v>
      </c>
      <c r="B123" s="12" t="s">
        <v>283</v>
      </c>
      <c r="C123" s="12" t="s">
        <v>529</v>
      </c>
      <c r="D123" s="12" t="s">
        <v>530</v>
      </c>
      <c r="E123" s="12" t="s">
        <v>1796</v>
      </c>
      <c r="F123" s="12" t="s">
        <v>1810</v>
      </c>
      <c r="G123" s="12" t="s">
        <v>1797</v>
      </c>
      <c r="H123" s="12"/>
      <c r="I123" s="12" t="s">
        <v>118</v>
      </c>
      <c r="J123" s="12" t="s">
        <v>1798</v>
      </c>
    </row>
    <row r="124" customFormat="false" ht="23.85" hidden="false" customHeight="false" outlineLevel="0" collapsed="false">
      <c r="A124" s="12" t="s">
        <v>57</v>
      </c>
      <c r="B124" s="12" t="s">
        <v>283</v>
      </c>
      <c r="C124" s="12" t="s">
        <v>531</v>
      </c>
      <c r="D124" s="12" t="s">
        <v>532</v>
      </c>
      <c r="E124" s="12" t="s">
        <v>293</v>
      </c>
      <c r="F124" s="12" t="s">
        <v>1810</v>
      </c>
      <c r="G124" s="12" t="s">
        <v>1797</v>
      </c>
      <c r="H124" s="12"/>
      <c r="I124" s="12" t="s">
        <v>118</v>
      </c>
      <c r="J124" s="12" t="s">
        <v>1798</v>
      </c>
    </row>
    <row r="125" customFormat="false" ht="35.05" hidden="false" customHeight="false" outlineLevel="0" collapsed="false">
      <c r="A125" s="12" t="s">
        <v>57</v>
      </c>
      <c r="B125" s="12" t="s">
        <v>283</v>
      </c>
      <c r="C125" s="12" t="s">
        <v>533</v>
      </c>
      <c r="D125" s="12" t="s">
        <v>534</v>
      </c>
      <c r="E125" s="12" t="s">
        <v>1796</v>
      </c>
      <c r="F125" s="12" t="s">
        <v>1810</v>
      </c>
      <c r="G125" s="12" t="s">
        <v>1797</v>
      </c>
      <c r="H125" s="12"/>
      <c r="I125" s="12" t="s">
        <v>118</v>
      </c>
      <c r="J125" s="12" t="s">
        <v>1798</v>
      </c>
    </row>
    <row r="126" customFormat="false" ht="23.85" hidden="false" customHeight="false" outlineLevel="0" collapsed="false">
      <c r="A126" s="12" t="s">
        <v>57</v>
      </c>
      <c r="B126" s="12" t="s">
        <v>283</v>
      </c>
      <c r="C126" s="12" t="s">
        <v>535</v>
      </c>
      <c r="D126" s="12" t="s">
        <v>536</v>
      </c>
      <c r="E126" s="12" t="s">
        <v>293</v>
      </c>
      <c r="F126" s="12" t="s">
        <v>1810</v>
      </c>
      <c r="G126" s="12" t="s">
        <v>1797</v>
      </c>
      <c r="H126" s="12"/>
      <c r="I126" s="12" t="s">
        <v>118</v>
      </c>
      <c r="J126" s="12" t="s">
        <v>1798</v>
      </c>
    </row>
    <row r="127" customFormat="false" ht="23.85" hidden="false" customHeight="false" outlineLevel="0" collapsed="false">
      <c r="A127" s="12" t="s">
        <v>57</v>
      </c>
      <c r="B127" s="12" t="s">
        <v>283</v>
      </c>
      <c r="C127" s="12" t="s">
        <v>537</v>
      </c>
      <c r="D127" s="12" t="s">
        <v>538</v>
      </c>
      <c r="E127" s="12" t="s">
        <v>293</v>
      </c>
      <c r="F127" s="12" t="s">
        <v>1810</v>
      </c>
      <c r="G127" s="12" t="s">
        <v>1797</v>
      </c>
      <c r="H127" s="12"/>
      <c r="I127" s="12" t="s">
        <v>118</v>
      </c>
      <c r="J127" s="12" t="s">
        <v>1798</v>
      </c>
    </row>
    <row r="128" customFormat="false" ht="23.85" hidden="false" customHeight="false" outlineLevel="0" collapsed="false">
      <c r="A128" s="12" t="s">
        <v>57</v>
      </c>
      <c r="B128" s="12" t="s">
        <v>283</v>
      </c>
      <c r="C128" s="12" t="s">
        <v>539</v>
      </c>
      <c r="D128" s="12" t="s">
        <v>540</v>
      </c>
      <c r="E128" s="12" t="s">
        <v>293</v>
      </c>
      <c r="F128" s="12" t="s">
        <v>1810</v>
      </c>
      <c r="G128" s="12" t="s">
        <v>1797</v>
      </c>
      <c r="H128" s="12"/>
      <c r="I128" s="12" t="s">
        <v>118</v>
      </c>
      <c r="J128" s="12" t="s">
        <v>1798</v>
      </c>
    </row>
    <row r="129" customFormat="false" ht="23.85" hidden="false" customHeight="false" outlineLevel="0" collapsed="false">
      <c r="A129" s="12" t="s">
        <v>57</v>
      </c>
      <c r="B129" s="12" t="s">
        <v>283</v>
      </c>
      <c r="C129" s="12" t="s">
        <v>541</v>
      </c>
      <c r="D129" s="12" t="s">
        <v>542</v>
      </c>
      <c r="E129" s="12" t="s">
        <v>293</v>
      </c>
      <c r="F129" s="12" t="s">
        <v>1810</v>
      </c>
      <c r="G129" s="12" t="s">
        <v>1797</v>
      </c>
      <c r="H129" s="12"/>
      <c r="I129" s="12" t="s">
        <v>118</v>
      </c>
      <c r="J129" s="12" t="s">
        <v>1798</v>
      </c>
    </row>
    <row r="130" customFormat="false" ht="23.85" hidden="false" customHeight="false" outlineLevel="0" collapsed="false">
      <c r="A130" s="12" t="s">
        <v>57</v>
      </c>
      <c r="B130" s="12" t="s">
        <v>283</v>
      </c>
      <c r="C130" s="12" t="s">
        <v>543</v>
      </c>
      <c r="D130" s="12" t="s">
        <v>544</v>
      </c>
      <c r="E130" s="12" t="s">
        <v>293</v>
      </c>
      <c r="F130" s="12" t="s">
        <v>1810</v>
      </c>
      <c r="G130" s="12" t="s">
        <v>1797</v>
      </c>
      <c r="H130" s="12"/>
      <c r="I130" s="12" t="s">
        <v>118</v>
      </c>
      <c r="J130" s="12" t="s">
        <v>1798</v>
      </c>
    </row>
    <row r="131" customFormat="false" ht="35.05" hidden="false" customHeight="false" outlineLevel="0" collapsed="false">
      <c r="A131" s="12" t="s">
        <v>57</v>
      </c>
      <c r="B131" s="12" t="s">
        <v>283</v>
      </c>
      <c r="C131" s="12" t="s">
        <v>545</v>
      </c>
      <c r="D131" s="12" t="s">
        <v>546</v>
      </c>
      <c r="E131" s="12" t="s">
        <v>1796</v>
      </c>
      <c r="F131" s="12" t="s">
        <v>1810</v>
      </c>
      <c r="G131" s="12" t="s">
        <v>1797</v>
      </c>
      <c r="H131" s="12"/>
      <c r="I131" s="12" t="s">
        <v>118</v>
      </c>
      <c r="J131" s="12" t="s">
        <v>1798</v>
      </c>
    </row>
    <row r="132" customFormat="false" ht="23.85" hidden="false" customHeight="false" outlineLevel="0" collapsed="false">
      <c r="A132" s="12" t="s">
        <v>57</v>
      </c>
      <c r="B132" s="12" t="s">
        <v>283</v>
      </c>
      <c r="C132" s="12" t="s">
        <v>547</v>
      </c>
      <c r="D132" s="12" t="s">
        <v>548</v>
      </c>
      <c r="E132" s="12" t="s">
        <v>293</v>
      </c>
      <c r="F132" s="12" t="s">
        <v>1810</v>
      </c>
      <c r="G132" s="12" t="s">
        <v>1797</v>
      </c>
      <c r="H132" s="12"/>
      <c r="I132" s="12" t="s">
        <v>118</v>
      </c>
      <c r="J132" s="12" t="s">
        <v>1798</v>
      </c>
    </row>
    <row r="133" customFormat="false" ht="23.85" hidden="false" customHeight="false" outlineLevel="0" collapsed="false">
      <c r="A133" s="12" t="s">
        <v>57</v>
      </c>
      <c r="B133" s="12" t="s">
        <v>283</v>
      </c>
      <c r="C133" s="12" t="s">
        <v>549</v>
      </c>
      <c r="D133" s="12" t="s">
        <v>550</v>
      </c>
      <c r="E133" s="12" t="s">
        <v>293</v>
      </c>
      <c r="F133" s="12" t="s">
        <v>1810</v>
      </c>
      <c r="G133" s="12" t="s">
        <v>1797</v>
      </c>
      <c r="H133" s="12"/>
      <c r="I133" s="12" t="s">
        <v>118</v>
      </c>
      <c r="J133" s="12" t="s">
        <v>1798</v>
      </c>
    </row>
    <row r="134" customFormat="false" ht="23.85" hidden="false" customHeight="false" outlineLevel="0" collapsed="false">
      <c r="A134" s="12" t="s">
        <v>57</v>
      </c>
      <c r="B134" s="12" t="s">
        <v>283</v>
      </c>
      <c r="C134" s="12" t="s">
        <v>551</v>
      </c>
      <c r="D134" s="12" t="s">
        <v>552</v>
      </c>
      <c r="E134" s="12" t="s">
        <v>293</v>
      </c>
      <c r="F134" s="12" t="s">
        <v>1810</v>
      </c>
      <c r="G134" s="12" t="s">
        <v>1797</v>
      </c>
      <c r="H134" s="12"/>
      <c r="I134" s="12" t="s">
        <v>118</v>
      </c>
      <c r="J134" s="12" t="s">
        <v>1798</v>
      </c>
    </row>
    <row r="135" customFormat="false" ht="23.85" hidden="false" customHeight="false" outlineLevel="0" collapsed="false">
      <c r="A135" s="12" t="s">
        <v>57</v>
      </c>
      <c r="B135" s="12" t="s">
        <v>283</v>
      </c>
      <c r="C135" s="12" t="s">
        <v>553</v>
      </c>
      <c r="D135" s="12" t="s">
        <v>554</v>
      </c>
      <c r="E135" s="12" t="s">
        <v>293</v>
      </c>
      <c r="F135" s="12" t="s">
        <v>1810</v>
      </c>
      <c r="G135" s="12" t="s">
        <v>1797</v>
      </c>
      <c r="H135" s="12"/>
      <c r="I135" s="12" t="s">
        <v>118</v>
      </c>
      <c r="J135" s="12" t="s">
        <v>1798</v>
      </c>
    </row>
    <row r="136" customFormat="false" ht="23.85" hidden="false" customHeight="false" outlineLevel="0" collapsed="false">
      <c r="A136" s="12" t="s">
        <v>57</v>
      </c>
      <c r="B136" s="12" t="s">
        <v>283</v>
      </c>
      <c r="C136" s="12" t="s">
        <v>555</v>
      </c>
      <c r="D136" s="12" t="s">
        <v>556</v>
      </c>
      <c r="E136" s="12" t="s">
        <v>293</v>
      </c>
      <c r="F136" s="12" t="s">
        <v>1810</v>
      </c>
      <c r="G136" s="12" t="s">
        <v>1797</v>
      </c>
      <c r="H136" s="12"/>
      <c r="I136" s="12" t="s">
        <v>118</v>
      </c>
      <c r="J136" s="12" t="s">
        <v>1798</v>
      </c>
    </row>
    <row r="137" customFormat="false" ht="35.05" hidden="false" customHeight="false" outlineLevel="0" collapsed="false">
      <c r="A137" s="12" t="s">
        <v>57</v>
      </c>
      <c r="B137" s="12" t="s">
        <v>283</v>
      </c>
      <c r="C137" s="12" t="s">
        <v>557</v>
      </c>
      <c r="D137" s="12" t="s">
        <v>558</v>
      </c>
      <c r="E137" s="12" t="s">
        <v>1796</v>
      </c>
      <c r="F137" s="12" t="s">
        <v>1810</v>
      </c>
      <c r="G137" s="12" t="s">
        <v>1797</v>
      </c>
      <c r="H137" s="12"/>
      <c r="I137" s="12" t="s">
        <v>118</v>
      </c>
      <c r="J137" s="12" t="s">
        <v>1798</v>
      </c>
    </row>
    <row r="138" customFormat="false" ht="23.85" hidden="false" customHeight="false" outlineLevel="0" collapsed="false">
      <c r="A138" s="12" t="s">
        <v>57</v>
      </c>
      <c r="B138" s="12" t="s">
        <v>283</v>
      </c>
      <c r="C138" s="12" t="s">
        <v>559</v>
      </c>
      <c r="D138" s="12" t="s">
        <v>560</v>
      </c>
      <c r="E138" s="12" t="s">
        <v>293</v>
      </c>
      <c r="F138" s="12" t="s">
        <v>1810</v>
      </c>
      <c r="G138" s="12" t="s">
        <v>1797</v>
      </c>
      <c r="H138" s="12"/>
      <c r="I138" s="12" t="s">
        <v>118</v>
      </c>
      <c r="J138" s="12" t="s">
        <v>1798</v>
      </c>
    </row>
    <row r="139" customFormat="false" ht="35.05" hidden="false" customHeight="false" outlineLevel="0" collapsed="false">
      <c r="A139" s="12" t="s">
        <v>57</v>
      </c>
      <c r="B139" s="12" t="s">
        <v>283</v>
      </c>
      <c r="C139" s="12" t="s">
        <v>561</v>
      </c>
      <c r="D139" s="12" t="s">
        <v>562</v>
      </c>
      <c r="E139" s="12" t="s">
        <v>1796</v>
      </c>
      <c r="F139" s="12" t="s">
        <v>1810</v>
      </c>
      <c r="G139" s="12" t="s">
        <v>1797</v>
      </c>
      <c r="H139" s="12"/>
      <c r="I139" s="12" t="s">
        <v>118</v>
      </c>
      <c r="J139" s="12" t="s">
        <v>1798</v>
      </c>
    </row>
    <row r="140" customFormat="false" ht="23.85" hidden="false" customHeight="false" outlineLevel="0" collapsed="false">
      <c r="A140" s="12" t="s">
        <v>57</v>
      </c>
      <c r="B140" s="12" t="s">
        <v>283</v>
      </c>
      <c r="C140" s="12" t="s">
        <v>563</v>
      </c>
      <c r="D140" s="12" t="s">
        <v>564</v>
      </c>
      <c r="E140" s="12" t="s">
        <v>293</v>
      </c>
      <c r="F140" s="12" t="s">
        <v>1810</v>
      </c>
      <c r="G140" s="12" t="s">
        <v>1797</v>
      </c>
      <c r="H140" s="12"/>
      <c r="I140" s="12" t="s">
        <v>118</v>
      </c>
      <c r="J140" s="12" t="s">
        <v>1798</v>
      </c>
    </row>
    <row r="141" customFormat="false" ht="23.85" hidden="false" customHeight="false" outlineLevel="0" collapsed="false">
      <c r="A141" s="12" t="s">
        <v>57</v>
      </c>
      <c r="B141" s="12" t="s">
        <v>283</v>
      </c>
      <c r="C141" s="12" t="s">
        <v>565</v>
      </c>
      <c r="D141" s="12" t="s">
        <v>566</v>
      </c>
      <c r="E141" s="12" t="s">
        <v>293</v>
      </c>
      <c r="F141" s="12" t="s">
        <v>1810</v>
      </c>
      <c r="G141" s="12" t="s">
        <v>1797</v>
      </c>
      <c r="H141" s="12"/>
      <c r="I141" s="12" t="s">
        <v>118</v>
      </c>
      <c r="J141" s="12" t="s">
        <v>1798</v>
      </c>
    </row>
    <row r="142" customFormat="false" ht="23.85" hidden="false" customHeight="false" outlineLevel="0" collapsed="false">
      <c r="A142" s="12" t="s">
        <v>57</v>
      </c>
      <c r="B142" s="12" t="s">
        <v>283</v>
      </c>
      <c r="C142" s="12" t="s">
        <v>567</v>
      </c>
      <c r="D142" s="12" t="s">
        <v>568</v>
      </c>
      <c r="E142" s="12" t="s">
        <v>293</v>
      </c>
      <c r="F142" s="12" t="s">
        <v>1810</v>
      </c>
      <c r="G142" s="12" t="s">
        <v>1797</v>
      </c>
      <c r="H142" s="12"/>
      <c r="I142" s="12" t="s">
        <v>118</v>
      </c>
      <c r="J142" s="12" t="s">
        <v>1798</v>
      </c>
    </row>
    <row r="143" customFormat="false" ht="23.85" hidden="false" customHeight="false" outlineLevel="0" collapsed="false">
      <c r="A143" s="12" t="s">
        <v>57</v>
      </c>
      <c r="B143" s="12" t="s">
        <v>283</v>
      </c>
      <c r="C143" s="12" t="s">
        <v>569</v>
      </c>
      <c r="D143" s="12" t="s">
        <v>570</v>
      </c>
      <c r="E143" s="12" t="s">
        <v>293</v>
      </c>
      <c r="F143" s="12" t="s">
        <v>1810</v>
      </c>
      <c r="G143" s="12" t="s">
        <v>1797</v>
      </c>
      <c r="H143" s="12"/>
      <c r="I143" s="12" t="s">
        <v>118</v>
      </c>
      <c r="J143" s="12" t="s">
        <v>1798</v>
      </c>
    </row>
    <row r="144" customFormat="false" ht="23.85" hidden="false" customHeight="false" outlineLevel="0" collapsed="false">
      <c r="A144" s="12" t="s">
        <v>57</v>
      </c>
      <c r="B144" s="12" t="s">
        <v>283</v>
      </c>
      <c r="C144" s="12" t="s">
        <v>571</v>
      </c>
      <c r="D144" s="12" t="s">
        <v>572</v>
      </c>
      <c r="E144" s="12" t="s">
        <v>293</v>
      </c>
      <c r="F144" s="12" t="s">
        <v>1810</v>
      </c>
      <c r="G144" s="12" t="s">
        <v>1797</v>
      </c>
      <c r="H144" s="12"/>
      <c r="I144" s="12" t="s">
        <v>118</v>
      </c>
      <c r="J144" s="12" t="s">
        <v>1798</v>
      </c>
    </row>
    <row r="145" customFormat="false" ht="35.05" hidden="false" customHeight="false" outlineLevel="0" collapsed="false">
      <c r="A145" s="12" t="s">
        <v>57</v>
      </c>
      <c r="B145" s="12" t="s">
        <v>283</v>
      </c>
      <c r="C145" s="12" t="s">
        <v>573</v>
      </c>
      <c r="D145" s="12" t="s">
        <v>574</v>
      </c>
      <c r="E145" s="12" t="s">
        <v>1796</v>
      </c>
      <c r="F145" s="12" t="s">
        <v>1810</v>
      </c>
      <c r="G145" s="12" t="s">
        <v>1797</v>
      </c>
      <c r="H145" s="12"/>
      <c r="I145" s="12" t="s">
        <v>118</v>
      </c>
      <c r="J145" s="12" t="s">
        <v>1798</v>
      </c>
    </row>
    <row r="146" customFormat="false" ht="23.85" hidden="false" customHeight="false" outlineLevel="0" collapsed="false">
      <c r="A146" s="12" t="s">
        <v>57</v>
      </c>
      <c r="B146" s="12" t="s">
        <v>283</v>
      </c>
      <c r="C146" s="12" t="s">
        <v>575</v>
      </c>
      <c r="D146" s="12" t="s">
        <v>576</v>
      </c>
      <c r="E146" s="12" t="s">
        <v>293</v>
      </c>
      <c r="F146" s="12" t="s">
        <v>1810</v>
      </c>
      <c r="G146" s="12" t="s">
        <v>1797</v>
      </c>
      <c r="H146" s="12"/>
      <c r="I146" s="12" t="s">
        <v>118</v>
      </c>
      <c r="J146" s="12" t="s">
        <v>1798</v>
      </c>
    </row>
    <row r="147" customFormat="false" ht="23.85" hidden="false" customHeight="false" outlineLevel="0" collapsed="false">
      <c r="A147" s="12" t="s">
        <v>57</v>
      </c>
      <c r="B147" s="12" t="s">
        <v>283</v>
      </c>
      <c r="C147" s="12" t="s">
        <v>577</v>
      </c>
      <c r="D147" s="12" t="s">
        <v>578</v>
      </c>
      <c r="E147" s="12" t="s">
        <v>293</v>
      </c>
      <c r="F147" s="12" t="s">
        <v>1810</v>
      </c>
      <c r="G147" s="12" t="s">
        <v>1797</v>
      </c>
      <c r="H147" s="12"/>
      <c r="I147" s="12" t="s">
        <v>118</v>
      </c>
      <c r="J147" s="12" t="s">
        <v>1798</v>
      </c>
    </row>
    <row r="148" customFormat="false" ht="23.85" hidden="false" customHeight="false" outlineLevel="0" collapsed="false">
      <c r="A148" s="12" t="s">
        <v>57</v>
      </c>
      <c r="B148" s="12" t="s">
        <v>283</v>
      </c>
      <c r="C148" s="12" t="s">
        <v>579</v>
      </c>
      <c r="D148" s="12" t="s">
        <v>580</v>
      </c>
      <c r="E148" s="12" t="s">
        <v>293</v>
      </c>
      <c r="F148" s="12" t="s">
        <v>1810</v>
      </c>
      <c r="G148" s="12" t="s">
        <v>1797</v>
      </c>
      <c r="H148" s="12"/>
      <c r="I148" s="12" t="s">
        <v>118</v>
      </c>
      <c r="J148" s="12" t="s">
        <v>1798</v>
      </c>
    </row>
    <row r="149" customFormat="false" ht="23.85" hidden="false" customHeight="false" outlineLevel="0" collapsed="false">
      <c r="A149" s="12" t="s">
        <v>57</v>
      </c>
      <c r="B149" s="12" t="s">
        <v>283</v>
      </c>
      <c r="C149" s="12" t="s">
        <v>581</v>
      </c>
      <c r="D149" s="12" t="s">
        <v>582</v>
      </c>
      <c r="E149" s="12" t="s">
        <v>293</v>
      </c>
      <c r="F149" s="12" t="s">
        <v>1810</v>
      </c>
      <c r="G149" s="12" t="s">
        <v>1797</v>
      </c>
      <c r="H149" s="12"/>
      <c r="I149" s="12" t="s">
        <v>118</v>
      </c>
      <c r="J149" s="12" t="s">
        <v>1798</v>
      </c>
    </row>
    <row r="150" customFormat="false" ht="23.85" hidden="false" customHeight="false" outlineLevel="0" collapsed="false">
      <c r="A150" s="12" t="s">
        <v>57</v>
      </c>
      <c r="B150" s="12" t="s">
        <v>283</v>
      </c>
      <c r="C150" s="12" t="s">
        <v>583</v>
      </c>
      <c r="D150" s="12" t="s">
        <v>584</v>
      </c>
      <c r="E150" s="12" t="s">
        <v>293</v>
      </c>
      <c r="F150" s="12" t="s">
        <v>1810</v>
      </c>
      <c r="G150" s="12" t="s">
        <v>1797</v>
      </c>
      <c r="H150" s="12"/>
      <c r="I150" s="12" t="s">
        <v>118</v>
      </c>
      <c r="J150" s="12" t="s">
        <v>1798</v>
      </c>
    </row>
    <row r="151" customFormat="false" ht="35.05" hidden="false" customHeight="false" outlineLevel="0" collapsed="false">
      <c r="A151" s="12" t="s">
        <v>57</v>
      </c>
      <c r="B151" s="12" t="s">
        <v>283</v>
      </c>
      <c r="C151" s="12" t="s">
        <v>585</v>
      </c>
      <c r="D151" s="12" t="s">
        <v>586</v>
      </c>
      <c r="E151" s="12" t="s">
        <v>1796</v>
      </c>
      <c r="F151" s="12" t="s">
        <v>1810</v>
      </c>
      <c r="G151" s="12" t="s">
        <v>1797</v>
      </c>
      <c r="H151" s="12"/>
      <c r="I151" s="12" t="s">
        <v>118</v>
      </c>
      <c r="J151" s="12" t="s">
        <v>1798</v>
      </c>
    </row>
    <row r="152" customFormat="false" ht="23.85" hidden="false" customHeight="false" outlineLevel="0" collapsed="false">
      <c r="A152" s="12" t="s">
        <v>57</v>
      </c>
      <c r="B152" s="12" t="s">
        <v>283</v>
      </c>
      <c r="C152" s="12" t="s">
        <v>587</v>
      </c>
      <c r="D152" s="12" t="s">
        <v>588</v>
      </c>
      <c r="E152" s="12" t="s">
        <v>293</v>
      </c>
      <c r="F152" s="12" t="s">
        <v>1810</v>
      </c>
      <c r="G152" s="12" t="s">
        <v>1797</v>
      </c>
      <c r="H152" s="12"/>
      <c r="I152" s="12" t="s">
        <v>118</v>
      </c>
      <c r="J152" s="12" t="s">
        <v>1798</v>
      </c>
    </row>
    <row r="153" customFormat="false" ht="35.05" hidden="false" customHeight="false" outlineLevel="0" collapsed="false">
      <c r="A153" s="12" t="s">
        <v>57</v>
      </c>
      <c r="B153" s="12" t="s">
        <v>283</v>
      </c>
      <c r="C153" s="12" t="s">
        <v>589</v>
      </c>
      <c r="D153" s="12" t="s">
        <v>590</v>
      </c>
      <c r="E153" s="12" t="s">
        <v>1796</v>
      </c>
      <c r="F153" s="12" t="s">
        <v>1810</v>
      </c>
      <c r="G153" s="12" t="s">
        <v>1797</v>
      </c>
      <c r="H153" s="12"/>
      <c r="I153" s="12" t="s">
        <v>118</v>
      </c>
      <c r="J153" s="12" t="s">
        <v>1798</v>
      </c>
    </row>
    <row r="154" customFormat="false" ht="23.85" hidden="false" customHeight="false" outlineLevel="0" collapsed="false">
      <c r="A154" s="12" t="s">
        <v>57</v>
      </c>
      <c r="B154" s="12" t="s">
        <v>283</v>
      </c>
      <c r="C154" s="12" t="s">
        <v>591</v>
      </c>
      <c r="D154" s="12" t="s">
        <v>592</v>
      </c>
      <c r="E154" s="12" t="s">
        <v>293</v>
      </c>
      <c r="F154" s="12" t="s">
        <v>1810</v>
      </c>
      <c r="G154" s="12" t="s">
        <v>1797</v>
      </c>
      <c r="H154" s="12"/>
      <c r="I154" s="12" t="s">
        <v>118</v>
      </c>
      <c r="J154" s="12" t="s">
        <v>1798</v>
      </c>
    </row>
    <row r="155" customFormat="false" ht="23.85" hidden="false" customHeight="false" outlineLevel="0" collapsed="false">
      <c r="A155" s="12" t="s">
        <v>57</v>
      </c>
      <c r="B155" s="12" t="s">
        <v>283</v>
      </c>
      <c r="C155" s="12" t="s">
        <v>593</v>
      </c>
      <c r="D155" s="12" t="s">
        <v>594</v>
      </c>
      <c r="E155" s="12" t="s">
        <v>293</v>
      </c>
      <c r="F155" s="12" t="s">
        <v>1810</v>
      </c>
      <c r="G155" s="12" t="s">
        <v>1797</v>
      </c>
      <c r="H155" s="12"/>
      <c r="I155" s="12" t="s">
        <v>118</v>
      </c>
      <c r="J155" s="12" t="s">
        <v>1798</v>
      </c>
    </row>
    <row r="156" customFormat="false" ht="23.85" hidden="false" customHeight="false" outlineLevel="0" collapsed="false">
      <c r="A156" s="12" t="s">
        <v>57</v>
      </c>
      <c r="B156" s="12" t="s">
        <v>283</v>
      </c>
      <c r="C156" s="12" t="s">
        <v>595</v>
      </c>
      <c r="D156" s="12" t="s">
        <v>596</v>
      </c>
      <c r="E156" s="12" t="s">
        <v>293</v>
      </c>
      <c r="F156" s="12" t="s">
        <v>1810</v>
      </c>
      <c r="G156" s="12" t="s">
        <v>1797</v>
      </c>
      <c r="H156" s="12"/>
      <c r="I156" s="12" t="s">
        <v>118</v>
      </c>
      <c r="J156" s="12" t="s">
        <v>1798</v>
      </c>
    </row>
    <row r="157" customFormat="false" ht="23.85" hidden="false" customHeight="false" outlineLevel="0" collapsed="false">
      <c r="A157" s="12" t="s">
        <v>57</v>
      </c>
      <c r="B157" s="12" t="s">
        <v>283</v>
      </c>
      <c r="C157" s="12" t="s">
        <v>597</v>
      </c>
      <c r="D157" s="12" t="s">
        <v>598</v>
      </c>
      <c r="E157" s="12" t="s">
        <v>293</v>
      </c>
      <c r="F157" s="12" t="s">
        <v>1810</v>
      </c>
      <c r="G157" s="12" t="s">
        <v>1797</v>
      </c>
      <c r="H157" s="12"/>
      <c r="I157" s="12" t="s">
        <v>118</v>
      </c>
      <c r="J157" s="12" t="s">
        <v>1798</v>
      </c>
    </row>
    <row r="158" customFormat="false" ht="35.05" hidden="false" customHeight="false" outlineLevel="0" collapsed="false">
      <c r="A158" s="12" t="s">
        <v>57</v>
      </c>
      <c r="B158" s="12" t="s">
        <v>283</v>
      </c>
      <c r="C158" s="12" t="s">
        <v>599</v>
      </c>
      <c r="D158" s="12" t="s">
        <v>600</v>
      </c>
      <c r="E158" s="12" t="s">
        <v>1796</v>
      </c>
      <c r="F158" s="12" t="s">
        <v>1810</v>
      </c>
      <c r="G158" s="12" t="s">
        <v>1797</v>
      </c>
      <c r="H158" s="12"/>
      <c r="I158" s="12" t="s">
        <v>118</v>
      </c>
      <c r="J158" s="12" t="s">
        <v>1798</v>
      </c>
    </row>
    <row r="159" customFormat="false" ht="23.85" hidden="false" customHeight="false" outlineLevel="0" collapsed="false">
      <c r="A159" s="12" t="s">
        <v>57</v>
      </c>
      <c r="B159" s="12" t="s">
        <v>283</v>
      </c>
      <c r="C159" s="12" t="s">
        <v>601</v>
      </c>
      <c r="D159" s="12" t="s">
        <v>602</v>
      </c>
      <c r="E159" s="12" t="s">
        <v>293</v>
      </c>
      <c r="F159" s="12" t="s">
        <v>1810</v>
      </c>
      <c r="G159" s="12" t="s">
        <v>1797</v>
      </c>
      <c r="H159" s="12"/>
      <c r="I159" s="12" t="s">
        <v>118</v>
      </c>
      <c r="J159" s="12" t="s">
        <v>1798</v>
      </c>
    </row>
    <row r="160" customFormat="false" ht="23.85" hidden="false" customHeight="false" outlineLevel="0" collapsed="false">
      <c r="A160" s="12" t="s">
        <v>57</v>
      </c>
      <c r="B160" s="12" t="s">
        <v>283</v>
      </c>
      <c r="C160" s="12" t="s">
        <v>603</v>
      </c>
      <c r="D160" s="12" t="s">
        <v>604</v>
      </c>
      <c r="E160" s="12" t="s">
        <v>293</v>
      </c>
      <c r="F160" s="12" t="s">
        <v>1810</v>
      </c>
      <c r="G160" s="12" t="s">
        <v>1797</v>
      </c>
      <c r="H160" s="12"/>
      <c r="I160" s="12" t="s">
        <v>118</v>
      </c>
      <c r="J160" s="12" t="s">
        <v>1798</v>
      </c>
    </row>
    <row r="161" customFormat="false" ht="23.85" hidden="false" customHeight="false" outlineLevel="0" collapsed="false">
      <c r="A161" s="12" t="s">
        <v>57</v>
      </c>
      <c r="B161" s="12" t="s">
        <v>283</v>
      </c>
      <c r="C161" s="12" t="s">
        <v>605</v>
      </c>
      <c r="D161" s="12" t="s">
        <v>606</v>
      </c>
      <c r="E161" s="12" t="s">
        <v>293</v>
      </c>
      <c r="F161" s="12" t="s">
        <v>1810</v>
      </c>
      <c r="G161" s="12" t="s">
        <v>1797</v>
      </c>
      <c r="H161" s="12"/>
      <c r="I161" s="12" t="s">
        <v>118</v>
      </c>
      <c r="J161" s="12" t="s">
        <v>1798</v>
      </c>
    </row>
    <row r="162" customFormat="false" ht="23.85" hidden="false" customHeight="false" outlineLevel="0" collapsed="false">
      <c r="A162" s="12" t="s">
        <v>57</v>
      </c>
      <c r="B162" s="12" t="s">
        <v>283</v>
      </c>
      <c r="C162" s="12" t="s">
        <v>607</v>
      </c>
      <c r="D162" s="12" t="s">
        <v>608</v>
      </c>
      <c r="E162" s="12" t="s">
        <v>293</v>
      </c>
      <c r="F162" s="12" t="s">
        <v>1810</v>
      </c>
      <c r="G162" s="12" t="s">
        <v>1797</v>
      </c>
      <c r="H162" s="12"/>
      <c r="I162" s="12" t="s">
        <v>118</v>
      </c>
      <c r="J162" s="12" t="s">
        <v>1798</v>
      </c>
    </row>
    <row r="163" customFormat="false" ht="35.05" hidden="false" customHeight="false" outlineLevel="0" collapsed="false">
      <c r="A163" s="12" t="s">
        <v>57</v>
      </c>
      <c r="B163" s="12" t="s">
        <v>283</v>
      </c>
      <c r="C163" s="12" t="s">
        <v>609</v>
      </c>
      <c r="D163" s="12" t="s">
        <v>610</v>
      </c>
      <c r="E163" s="12" t="s">
        <v>1796</v>
      </c>
      <c r="F163" s="12" t="s">
        <v>1810</v>
      </c>
      <c r="G163" s="12" t="s">
        <v>1797</v>
      </c>
      <c r="H163" s="12"/>
      <c r="I163" s="12" t="s">
        <v>118</v>
      </c>
      <c r="J163" s="12" t="s">
        <v>1798</v>
      </c>
    </row>
    <row r="164" customFormat="false" ht="23.85" hidden="false" customHeight="false" outlineLevel="0" collapsed="false">
      <c r="A164" s="12" t="s">
        <v>57</v>
      </c>
      <c r="B164" s="12" t="s">
        <v>283</v>
      </c>
      <c r="C164" s="12" t="s">
        <v>611</v>
      </c>
      <c r="D164" s="12" t="s">
        <v>612</v>
      </c>
      <c r="E164" s="12" t="s">
        <v>293</v>
      </c>
      <c r="F164" s="12" t="s">
        <v>1810</v>
      </c>
      <c r="G164" s="12" t="s">
        <v>1797</v>
      </c>
      <c r="H164" s="12"/>
      <c r="I164" s="12" t="s">
        <v>118</v>
      </c>
      <c r="J164" s="12" t="s">
        <v>1798</v>
      </c>
    </row>
    <row r="165" customFormat="false" ht="23.85" hidden="false" customHeight="false" outlineLevel="0" collapsed="false">
      <c r="A165" s="12" t="s">
        <v>57</v>
      </c>
      <c r="B165" s="12" t="s">
        <v>283</v>
      </c>
      <c r="C165" s="12" t="s">
        <v>613</v>
      </c>
      <c r="D165" s="12" t="s">
        <v>614</v>
      </c>
      <c r="E165" s="12" t="s">
        <v>293</v>
      </c>
      <c r="F165" s="12" t="s">
        <v>1810</v>
      </c>
      <c r="G165" s="12" t="s">
        <v>1797</v>
      </c>
      <c r="H165" s="12"/>
      <c r="I165" s="12" t="s">
        <v>118</v>
      </c>
      <c r="J165" s="12" t="s">
        <v>1798</v>
      </c>
    </row>
    <row r="166" customFormat="false" ht="23.85" hidden="false" customHeight="false" outlineLevel="0" collapsed="false">
      <c r="A166" s="12" t="s">
        <v>57</v>
      </c>
      <c r="B166" s="12" t="s">
        <v>283</v>
      </c>
      <c r="C166" s="12" t="s">
        <v>615</v>
      </c>
      <c r="D166" s="12" t="s">
        <v>616</v>
      </c>
      <c r="E166" s="12" t="s">
        <v>293</v>
      </c>
      <c r="F166" s="12" t="s">
        <v>1810</v>
      </c>
      <c r="G166" s="12" t="s">
        <v>1797</v>
      </c>
      <c r="H166" s="12"/>
      <c r="I166" s="12" t="s">
        <v>118</v>
      </c>
      <c r="J166" s="12" t="s">
        <v>1798</v>
      </c>
    </row>
    <row r="167" customFormat="false" ht="23.85" hidden="false" customHeight="false" outlineLevel="0" collapsed="false">
      <c r="A167" s="12" t="s">
        <v>57</v>
      </c>
      <c r="B167" s="12" t="s">
        <v>283</v>
      </c>
      <c r="C167" s="12" t="s">
        <v>617</v>
      </c>
      <c r="D167" s="12" t="s">
        <v>618</v>
      </c>
      <c r="E167" s="12" t="s">
        <v>293</v>
      </c>
      <c r="F167" s="12" t="s">
        <v>1810</v>
      </c>
      <c r="G167" s="12" t="s">
        <v>1797</v>
      </c>
      <c r="H167" s="12"/>
      <c r="I167" s="12" t="s">
        <v>118</v>
      </c>
      <c r="J167" s="12" t="s">
        <v>1798</v>
      </c>
    </row>
    <row r="168" customFormat="false" ht="35.05" hidden="false" customHeight="false" outlineLevel="0" collapsed="false">
      <c r="A168" s="12" t="s">
        <v>57</v>
      </c>
      <c r="B168" s="12" t="s">
        <v>283</v>
      </c>
      <c r="C168" s="12" t="s">
        <v>619</v>
      </c>
      <c r="D168" s="12" t="s">
        <v>620</v>
      </c>
      <c r="E168" s="12" t="s">
        <v>1796</v>
      </c>
      <c r="F168" s="12" t="s">
        <v>1810</v>
      </c>
      <c r="G168" s="12" t="s">
        <v>1797</v>
      </c>
      <c r="H168" s="12"/>
      <c r="I168" s="12" t="s">
        <v>118</v>
      </c>
      <c r="J168" s="12" t="s">
        <v>1798</v>
      </c>
    </row>
    <row r="169" customFormat="false" ht="23.85" hidden="false" customHeight="false" outlineLevel="0" collapsed="false">
      <c r="A169" s="12" t="s">
        <v>57</v>
      </c>
      <c r="B169" s="12" t="s">
        <v>283</v>
      </c>
      <c r="C169" s="12" t="s">
        <v>621</v>
      </c>
      <c r="D169" s="12" t="s">
        <v>622</v>
      </c>
      <c r="E169" s="12" t="s">
        <v>293</v>
      </c>
      <c r="F169" s="12" t="s">
        <v>1810</v>
      </c>
      <c r="G169" s="12" t="s">
        <v>1797</v>
      </c>
      <c r="H169" s="12"/>
      <c r="I169" s="12" t="s">
        <v>118</v>
      </c>
      <c r="J169" s="12" t="s">
        <v>1798</v>
      </c>
    </row>
    <row r="170" customFormat="false" ht="23.85" hidden="false" customHeight="false" outlineLevel="0" collapsed="false">
      <c r="A170" s="12" t="s">
        <v>57</v>
      </c>
      <c r="B170" s="12" t="s">
        <v>283</v>
      </c>
      <c r="C170" s="12" t="s">
        <v>623</v>
      </c>
      <c r="D170" s="12" t="s">
        <v>624</v>
      </c>
      <c r="E170" s="12" t="s">
        <v>293</v>
      </c>
      <c r="F170" s="12" t="s">
        <v>1810</v>
      </c>
      <c r="G170" s="12" t="s">
        <v>1797</v>
      </c>
      <c r="H170" s="12"/>
      <c r="I170" s="12" t="s">
        <v>118</v>
      </c>
      <c r="J170" s="12" t="s">
        <v>1798</v>
      </c>
    </row>
    <row r="171" customFormat="false" ht="23.85" hidden="false" customHeight="false" outlineLevel="0" collapsed="false">
      <c r="A171" s="12" t="s">
        <v>57</v>
      </c>
      <c r="B171" s="12" t="s">
        <v>283</v>
      </c>
      <c r="C171" s="12" t="s">
        <v>625</v>
      </c>
      <c r="D171" s="12" t="s">
        <v>626</v>
      </c>
      <c r="E171" s="12" t="s">
        <v>293</v>
      </c>
      <c r="F171" s="12" t="s">
        <v>1810</v>
      </c>
      <c r="G171" s="12" t="s">
        <v>1797</v>
      </c>
      <c r="H171" s="12"/>
      <c r="I171" s="12" t="s">
        <v>118</v>
      </c>
      <c r="J171" s="12" t="s">
        <v>1798</v>
      </c>
    </row>
    <row r="172" customFormat="false" ht="23.85" hidden="false" customHeight="false" outlineLevel="0" collapsed="false">
      <c r="A172" s="12" t="s">
        <v>57</v>
      </c>
      <c r="B172" s="12" t="s">
        <v>283</v>
      </c>
      <c r="C172" s="12" t="s">
        <v>627</v>
      </c>
      <c r="D172" s="12" t="s">
        <v>628</v>
      </c>
      <c r="E172" s="12" t="s">
        <v>293</v>
      </c>
      <c r="F172" s="12" t="s">
        <v>1810</v>
      </c>
      <c r="G172" s="12" t="s">
        <v>1797</v>
      </c>
      <c r="H172" s="12"/>
      <c r="I172" s="12" t="s">
        <v>118</v>
      </c>
      <c r="J172" s="12" t="s">
        <v>1798</v>
      </c>
    </row>
    <row r="173" customFormat="false" ht="23.85" hidden="false" customHeight="false" outlineLevel="0" collapsed="false">
      <c r="A173" s="12" t="s">
        <v>57</v>
      </c>
      <c r="B173" s="12" t="s">
        <v>283</v>
      </c>
      <c r="C173" s="12" t="s">
        <v>629</v>
      </c>
      <c r="D173" s="12" t="s">
        <v>630</v>
      </c>
      <c r="E173" s="12" t="s">
        <v>293</v>
      </c>
      <c r="F173" s="12" t="s">
        <v>1810</v>
      </c>
      <c r="G173" s="12" t="s">
        <v>1797</v>
      </c>
      <c r="H173" s="12"/>
      <c r="I173" s="12" t="s">
        <v>118</v>
      </c>
      <c r="J173" s="12" t="s">
        <v>1798</v>
      </c>
    </row>
    <row r="174" customFormat="false" ht="35.05" hidden="false" customHeight="false" outlineLevel="0" collapsed="false">
      <c r="A174" s="12" t="s">
        <v>57</v>
      </c>
      <c r="B174" s="12" t="s">
        <v>283</v>
      </c>
      <c r="C174" s="12" t="s">
        <v>631</v>
      </c>
      <c r="D174" s="12" t="s">
        <v>632</v>
      </c>
      <c r="E174" s="12" t="s">
        <v>1796</v>
      </c>
      <c r="F174" s="12" t="s">
        <v>1810</v>
      </c>
      <c r="G174" s="12" t="s">
        <v>1797</v>
      </c>
      <c r="H174" s="12"/>
      <c r="I174" s="12" t="s">
        <v>118</v>
      </c>
      <c r="J174" s="12" t="s">
        <v>1798</v>
      </c>
    </row>
    <row r="175" customFormat="false" ht="23.85" hidden="false" customHeight="false" outlineLevel="0" collapsed="false">
      <c r="A175" s="12" t="s">
        <v>57</v>
      </c>
      <c r="B175" s="12" t="s">
        <v>283</v>
      </c>
      <c r="C175" s="12" t="s">
        <v>633</v>
      </c>
      <c r="D175" s="12" t="s">
        <v>634</v>
      </c>
      <c r="E175" s="12" t="s">
        <v>293</v>
      </c>
      <c r="F175" s="12" t="s">
        <v>1810</v>
      </c>
      <c r="G175" s="12" t="s">
        <v>1797</v>
      </c>
      <c r="H175" s="12"/>
      <c r="I175" s="12" t="s">
        <v>118</v>
      </c>
      <c r="J175" s="12" t="s">
        <v>1798</v>
      </c>
    </row>
    <row r="176" customFormat="false" ht="35.05" hidden="false" customHeight="false" outlineLevel="0" collapsed="false">
      <c r="A176" s="12" t="s">
        <v>57</v>
      </c>
      <c r="B176" s="12" t="s">
        <v>283</v>
      </c>
      <c r="C176" s="12" t="s">
        <v>635</v>
      </c>
      <c r="D176" s="12" t="s">
        <v>636</v>
      </c>
      <c r="E176" s="12" t="s">
        <v>1796</v>
      </c>
      <c r="F176" s="12" t="s">
        <v>1810</v>
      </c>
      <c r="G176" s="12" t="s">
        <v>1797</v>
      </c>
      <c r="H176" s="12"/>
      <c r="I176" s="12" t="s">
        <v>118</v>
      </c>
      <c r="J176" s="12" t="s">
        <v>1798</v>
      </c>
    </row>
    <row r="177" customFormat="false" ht="23.85" hidden="false" customHeight="false" outlineLevel="0" collapsed="false">
      <c r="A177" s="12" t="s">
        <v>57</v>
      </c>
      <c r="B177" s="12" t="s">
        <v>283</v>
      </c>
      <c r="C177" s="12" t="s">
        <v>637</v>
      </c>
      <c r="D177" s="12" t="s">
        <v>638</v>
      </c>
      <c r="E177" s="12" t="s">
        <v>293</v>
      </c>
      <c r="F177" s="12" t="s">
        <v>1810</v>
      </c>
      <c r="G177" s="12" t="s">
        <v>1797</v>
      </c>
      <c r="H177" s="12"/>
      <c r="I177" s="12" t="s">
        <v>118</v>
      </c>
      <c r="J177" s="12" t="s">
        <v>1798</v>
      </c>
    </row>
    <row r="178" customFormat="false" ht="23.85" hidden="false" customHeight="false" outlineLevel="0" collapsed="false">
      <c r="A178" s="12" t="s">
        <v>57</v>
      </c>
      <c r="B178" s="12" t="s">
        <v>283</v>
      </c>
      <c r="C178" s="12" t="s">
        <v>639</v>
      </c>
      <c r="D178" s="12" t="s">
        <v>640</v>
      </c>
      <c r="E178" s="12" t="s">
        <v>293</v>
      </c>
      <c r="F178" s="12" t="s">
        <v>1810</v>
      </c>
      <c r="G178" s="12" t="s">
        <v>1797</v>
      </c>
      <c r="H178" s="12"/>
      <c r="I178" s="12" t="s">
        <v>118</v>
      </c>
      <c r="J178" s="12" t="s">
        <v>1798</v>
      </c>
    </row>
    <row r="179" customFormat="false" ht="23.85" hidden="false" customHeight="false" outlineLevel="0" collapsed="false">
      <c r="A179" s="12" t="s">
        <v>57</v>
      </c>
      <c r="B179" s="12" t="s">
        <v>283</v>
      </c>
      <c r="C179" s="12" t="s">
        <v>641</v>
      </c>
      <c r="D179" s="12" t="s">
        <v>642</v>
      </c>
      <c r="E179" s="12" t="s">
        <v>293</v>
      </c>
      <c r="F179" s="12" t="s">
        <v>1810</v>
      </c>
      <c r="G179" s="12" t="s">
        <v>1797</v>
      </c>
      <c r="H179" s="12"/>
      <c r="I179" s="12" t="s">
        <v>118</v>
      </c>
      <c r="J179" s="12" t="s">
        <v>1798</v>
      </c>
    </row>
    <row r="180" customFormat="false" ht="23.85" hidden="false" customHeight="false" outlineLevel="0" collapsed="false">
      <c r="A180" s="12" t="s">
        <v>57</v>
      </c>
      <c r="B180" s="12" t="s">
        <v>283</v>
      </c>
      <c r="C180" s="12" t="s">
        <v>643</v>
      </c>
      <c r="D180" s="12" t="s">
        <v>644</v>
      </c>
      <c r="E180" s="12" t="s">
        <v>293</v>
      </c>
      <c r="F180" s="12" t="s">
        <v>1810</v>
      </c>
      <c r="G180" s="12" t="s">
        <v>1797</v>
      </c>
      <c r="H180" s="12"/>
      <c r="I180" s="12" t="s">
        <v>118</v>
      </c>
      <c r="J180" s="12" t="s">
        <v>1798</v>
      </c>
    </row>
    <row r="181" customFormat="false" ht="35.05" hidden="false" customHeight="false" outlineLevel="0" collapsed="false">
      <c r="A181" s="12" t="s">
        <v>57</v>
      </c>
      <c r="B181" s="12" t="s">
        <v>283</v>
      </c>
      <c r="C181" s="12" t="s">
        <v>645</v>
      </c>
      <c r="D181" s="12" t="s">
        <v>646</v>
      </c>
      <c r="E181" s="12" t="s">
        <v>1796</v>
      </c>
      <c r="F181" s="12" t="s">
        <v>1810</v>
      </c>
      <c r="G181" s="12" t="s">
        <v>1797</v>
      </c>
      <c r="H181" s="12"/>
      <c r="I181" s="12" t="s">
        <v>118</v>
      </c>
      <c r="J181" s="12" t="s">
        <v>1798</v>
      </c>
    </row>
    <row r="182" customFormat="false" ht="23.85" hidden="false" customHeight="false" outlineLevel="0" collapsed="false">
      <c r="A182" s="12" t="s">
        <v>57</v>
      </c>
      <c r="B182" s="12" t="s">
        <v>283</v>
      </c>
      <c r="C182" s="12" t="s">
        <v>647</v>
      </c>
      <c r="D182" s="12" t="s">
        <v>648</v>
      </c>
      <c r="E182" s="12" t="s">
        <v>293</v>
      </c>
      <c r="F182" s="12" t="s">
        <v>1810</v>
      </c>
      <c r="G182" s="12" t="s">
        <v>1797</v>
      </c>
      <c r="H182" s="12"/>
      <c r="I182" s="12" t="s">
        <v>118</v>
      </c>
      <c r="J182" s="12" t="s">
        <v>1798</v>
      </c>
    </row>
    <row r="183" customFormat="false" ht="23.85" hidden="false" customHeight="false" outlineLevel="0" collapsed="false">
      <c r="A183" s="12" t="s">
        <v>57</v>
      </c>
      <c r="B183" s="12" t="s">
        <v>283</v>
      </c>
      <c r="C183" s="12" t="s">
        <v>649</v>
      </c>
      <c r="D183" s="12" t="s">
        <v>650</v>
      </c>
      <c r="E183" s="12" t="s">
        <v>293</v>
      </c>
      <c r="F183" s="12" t="s">
        <v>1810</v>
      </c>
      <c r="G183" s="12" t="s">
        <v>1797</v>
      </c>
      <c r="H183" s="12"/>
      <c r="I183" s="12" t="s">
        <v>118</v>
      </c>
      <c r="J183" s="12" t="s">
        <v>1798</v>
      </c>
    </row>
    <row r="184" customFormat="false" ht="23.85" hidden="false" customHeight="false" outlineLevel="0" collapsed="false">
      <c r="A184" s="12" t="s">
        <v>57</v>
      </c>
      <c r="B184" s="12" t="s">
        <v>283</v>
      </c>
      <c r="C184" s="12" t="s">
        <v>651</v>
      </c>
      <c r="D184" s="12" t="s">
        <v>652</v>
      </c>
      <c r="E184" s="12" t="s">
        <v>293</v>
      </c>
      <c r="F184" s="12" t="s">
        <v>1810</v>
      </c>
      <c r="G184" s="12" t="s">
        <v>1797</v>
      </c>
      <c r="H184" s="12"/>
      <c r="I184" s="12" t="s">
        <v>118</v>
      </c>
      <c r="J184" s="12" t="s">
        <v>1798</v>
      </c>
    </row>
    <row r="185" customFormat="false" ht="23.85" hidden="false" customHeight="false" outlineLevel="0" collapsed="false">
      <c r="A185" s="12" t="s">
        <v>57</v>
      </c>
      <c r="B185" s="12" t="s">
        <v>283</v>
      </c>
      <c r="C185" s="12" t="s">
        <v>653</v>
      </c>
      <c r="D185" s="12" t="s">
        <v>654</v>
      </c>
      <c r="E185" s="12" t="s">
        <v>293</v>
      </c>
      <c r="F185" s="12" t="s">
        <v>1810</v>
      </c>
      <c r="G185" s="12" t="s">
        <v>1797</v>
      </c>
      <c r="H185" s="12"/>
      <c r="I185" s="12" t="s">
        <v>118</v>
      </c>
      <c r="J185" s="12" t="s">
        <v>1798</v>
      </c>
    </row>
    <row r="186" customFormat="false" ht="35.05" hidden="false" customHeight="false" outlineLevel="0" collapsed="false">
      <c r="A186" s="12" t="s">
        <v>57</v>
      </c>
      <c r="B186" s="12" t="s">
        <v>283</v>
      </c>
      <c r="C186" s="12" t="s">
        <v>655</v>
      </c>
      <c r="D186" s="12" t="s">
        <v>656</v>
      </c>
      <c r="E186" s="12" t="s">
        <v>1796</v>
      </c>
      <c r="F186" s="12" t="s">
        <v>1810</v>
      </c>
      <c r="G186" s="12" t="s">
        <v>1797</v>
      </c>
      <c r="H186" s="12"/>
      <c r="I186" s="12" t="s">
        <v>118</v>
      </c>
      <c r="J186" s="12" t="s">
        <v>1798</v>
      </c>
    </row>
    <row r="187" customFormat="false" ht="23.85" hidden="false" customHeight="false" outlineLevel="0" collapsed="false">
      <c r="A187" s="12" t="s">
        <v>57</v>
      </c>
      <c r="B187" s="12" t="s">
        <v>283</v>
      </c>
      <c r="C187" s="12" t="s">
        <v>657</v>
      </c>
      <c r="D187" s="12" t="s">
        <v>658</v>
      </c>
      <c r="E187" s="12" t="s">
        <v>293</v>
      </c>
      <c r="F187" s="12" t="s">
        <v>1810</v>
      </c>
      <c r="G187" s="12" t="s">
        <v>1797</v>
      </c>
      <c r="H187" s="12"/>
      <c r="I187" s="12" t="s">
        <v>118</v>
      </c>
      <c r="J187" s="12" t="s">
        <v>1798</v>
      </c>
    </row>
    <row r="188" customFormat="false" ht="23.85" hidden="false" customHeight="false" outlineLevel="0" collapsed="false">
      <c r="A188" s="12" t="s">
        <v>57</v>
      </c>
      <c r="B188" s="12" t="s">
        <v>283</v>
      </c>
      <c r="C188" s="12" t="s">
        <v>659</v>
      </c>
      <c r="D188" s="12" t="s">
        <v>660</v>
      </c>
      <c r="E188" s="12" t="s">
        <v>293</v>
      </c>
      <c r="F188" s="12" t="s">
        <v>1810</v>
      </c>
      <c r="G188" s="12" t="s">
        <v>1797</v>
      </c>
      <c r="H188" s="12"/>
      <c r="I188" s="12" t="s">
        <v>118</v>
      </c>
      <c r="J188" s="12" t="s">
        <v>1798</v>
      </c>
    </row>
    <row r="189" customFormat="false" ht="23.85" hidden="false" customHeight="false" outlineLevel="0" collapsed="false">
      <c r="A189" s="12" t="s">
        <v>57</v>
      </c>
      <c r="B189" s="12" t="s">
        <v>283</v>
      </c>
      <c r="C189" s="12" t="s">
        <v>661</v>
      </c>
      <c r="D189" s="12" t="s">
        <v>662</v>
      </c>
      <c r="E189" s="12" t="s">
        <v>293</v>
      </c>
      <c r="F189" s="12" t="s">
        <v>1810</v>
      </c>
      <c r="G189" s="12" t="s">
        <v>1797</v>
      </c>
      <c r="H189" s="12"/>
      <c r="I189" s="12" t="s">
        <v>118</v>
      </c>
      <c r="J189" s="12" t="s">
        <v>1798</v>
      </c>
    </row>
    <row r="190" customFormat="false" ht="23.85" hidden="false" customHeight="false" outlineLevel="0" collapsed="false">
      <c r="A190" s="12" t="s">
        <v>57</v>
      </c>
      <c r="B190" s="12" t="s">
        <v>283</v>
      </c>
      <c r="C190" s="12" t="s">
        <v>663</v>
      </c>
      <c r="D190" s="12" t="s">
        <v>664</v>
      </c>
      <c r="E190" s="12" t="s">
        <v>293</v>
      </c>
      <c r="F190" s="12" t="s">
        <v>1810</v>
      </c>
      <c r="G190" s="12" t="s">
        <v>1797</v>
      </c>
      <c r="H190" s="12"/>
      <c r="I190" s="12" t="s">
        <v>118</v>
      </c>
      <c r="J190" s="12" t="s">
        <v>1798</v>
      </c>
    </row>
    <row r="191" customFormat="false" ht="35.05" hidden="false" customHeight="false" outlineLevel="0" collapsed="false">
      <c r="A191" s="12" t="s">
        <v>57</v>
      </c>
      <c r="B191" s="12" t="s">
        <v>283</v>
      </c>
      <c r="C191" s="12" t="s">
        <v>665</v>
      </c>
      <c r="D191" s="12" t="s">
        <v>666</v>
      </c>
      <c r="E191" s="12" t="s">
        <v>1796</v>
      </c>
      <c r="F191" s="12" t="s">
        <v>1810</v>
      </c>
      <c r="G191" s="12" t="s">
        <v>1797</v>
      </c>
      <c r="H191" s="12"/>
      <c r="I191" s="12" t="s">
        <v>118</v>
      </c>
      <c r="J191" s="12" t="s">
        <v>1798</v>
      </c>
    </row>
    <row r="192" customFormat="false" ht="23.85" hidden="false" customHeight="false" outlineLevel="0" collapsed="false">
      <c r="A192" s="12" t="s">
        <v>57</v>
      </c>
      <c r="B192" s="12" t="s">
        <v>283</v>
      </c>
      <c r="C192" s="12" t="s">
        <v>667</v>
      </c>
      <c r="D192" s="12" t="s">
        <v>668</v>
      </c>
      <c r="E192" s="12" t="s">
        <v>293</v>
      </c>
      <c r="F192" s="12" t="s">
        <v>1810</v>
      </c>
      <c r="G192" s="12" t="s">
        <v>1797</v>
      </c>
      <c r="H192" s="12"/>
      <c r="I192" s="12" t="s">
        <v>118</v>
      </c>
      <c r="J192" s="12" t="s">
        <v>1798</v>
      </c>
    </row>
    <row r="193" customFormat="false" ht="23.85" hidden="false" customHeight="false" outlineLevel="0" collapsed="false">
      <c r="A193" s="12" t="s">
        <v>57</v>
      </c>
      <c r="B193" s="12" t="s">
        <v>283</v>
      </c>
      <c r="C193" s="12" t="s">
        <v>669</v>
      </c>
      <c r="D193" s="12" t="s">
        <v>670</v>
      </c>
      <c r="E193" s="12" t="s">
        <v>293</v>
      </c>
      <c r="F193" s="12" t="s">
        <v>1810</v>
      </c>
      <c r="G193" s="12" t="s">
        <v>1797</v>
      </c>
      <c r="H193" s="12"/>
      <c r="I193" s="12" t="s">
        <v>118</v>
      </c>
      <c r="J193" s="12" t="s">
        <v>1798</v>
      </c>
    </row>
    <row r="194" customFormat="false" ht="23.85" hidden="false" customHeight="false" outlineLevel="0" collapsed="false">
      <c r="A194" s="12" t="s">
        <v>57</v>
      </c>
      <c r="B194" s="12" t="s">
        <v>283</v>
      </c>
      <c r="C194" s="12" t="s">
        <v>671</v>
      </c>
      <c r="D194" s="12" t="s">
        <v>672</v>
      </c>
      <c r="E194" s="12" t="s">
        <v>293</v>
      </c>
      <c r="F194" s="12" t="s">
        <v>1810</v>
      </c>
      <c r="G194" s="12" t="s">
        <v>1797</v>
      </c>
      <c r="H194" s="12"/>
      <c r="I194" s="12" t="s">
        <v>118</v>
      </c>
      <c r="J194" s="12" t="s">
        <v>1798</v>
      </c>
    </row>
    <row r="195" customFormat="false" ht="23.85" hidden="false" customHeight="false" outlineLevel="0" collapsed="false">
      <c r="A195" s="12" t="s">
        <v>57</v>
      </c>
      <c r="B195" s="12" t="s">
        <v>283</v>
      </c>
      <c r="C195" s="12" t="s">
        <v>673</v>
      </c>
      <c r="D195" s="12" t="s">
        <v>674</v>
      </c>
      <c r="E195" s="12" t="s">
        <v>293</v>
      </c>
      <c r="F195" s="12" t="s">
        <v>1810</v>
      </c>
      <c r="G195" s="12" t="s">
        <v>1797</v>
      </c>
      <c r="H195" s="12"/>
      <c r="I195" s="12" t="s">
        <v>118</v>
      </c>
      <c r="J195" s="12" t="s">
        <v>1798</v>
      </c>
    </row>
    <row r="196" customFormat="false" ht="23.85" hidden="false" customHeight="false" outlineLevel="0" collapsed="false">
      <c r="A196" s="12" t="s">
        <v>57</v>
      </c>
      <c r="B196" s="12" t="s">
        <v>283</v>
      </c>
      <c r="C196" s="12" t="s">
        <v>675</v>
      </c>
      <c r="D196" s="12" t="s">
        <v>676</v>
      </c>
      <c r="E196" s="12" t="s">
        <v>293</v>
      </c>
      <c r="F196" s="12" t="s">
        <v>1810</v>
      </c>
      <c r="G196" s="12" t="s">
        <v>1797</v>
      </c>
      <c r="H196" s="12"/>
      <c r="I196" s="12" t="s">
        <v>118</v>
      </c>
      <c r="J196" s="12" t="s">
        <v>1798</v>
      </c>
    </row>
    <row r="197" customFormat="false" ht="35.05" hidden="false" customHeight="false" outlineLevel="0" collapsed="false">
      <c r="A197" s="12" t="s">
        <v>57</v>
      </c>
      <c r="B197" s="12" t="s">
        <v>283</v>
      </c>
      <c r="C197" s="12" t="s">
        <v>677</v>
      </c>
      <c r="D197" s="12" t="s">
        <v>678</v>
      </c>
      <c r="E197" s="12" t="s">
        <v>1796</v>
      </c>
      <c r="F197" s="12" t="s">
        <v>1810</v>
      </c>
      <c r="G197" s="12" t="s">
        <v>1797</v>
      </c>
      <c r="H197" s="12"/>
      <c r="I197" s="12" t="s">
        <v>118</v>
      </c>
      <c r="J197" s="12" t="s">
        <v>1798</v>
      </c>
    </row>
    <row r="198" customFormat="false" ht="23.85" hidden="false" customHeight="false" outlineLevel="0" collapsed="false">
      <c r="A198" s="12" t="s">
        <v>57</v>
      </c>
      <c r="B198" s="12" t="s">
        <v>283</v>
      </c>
      <c r="C198" s="12" t="s">
        <v>679</v>
      </c>
      <c r="D198" s="12" t="s">
        <v>680</v>
      </c>
      <c r="E198" s="12" t="s">
        <v>293</v>
      </c>
      <c r="F198" s="12" t="s">
        <v>1810</v>
      </c>
      <c r="G198" s="12" t="s">
        <v>1797</v>
      </c>
      <c r="H198" s="12"/>
      <c r="I198" s="12" t="s">
        <v>118</v>
      </c>
      <c r="J198" s="12" t="s">
        <v>1798</v>
      </c>
    </row>
    <row r="199" customFormat="false" ht="35.05" hidden="false" customHeight="false" outlineLevel="0" collapsed="false">
      <c r="A199" s="12" t="s">
        <v>57</v>
      </c>
      <c r="B199" s="12" t="s">
        <v>283</v>
      </c>
      <c r="C199" s="12" t="s">
        <v>681</v>
      </c>
      <c r="D199" s="12" t="s">
        <v>682</v>
      </c>
      <c r="E199" s="12" t="s">
        <v>1796</v>
      </c>
      <c r="F199" s="12" t="s">
        <v>1810</v>
      </c>
      <c r="G199" s="12" t="s">
        <v>1797</v>
      </c>
      <c r="H199" s="12"/>
      <c r="I199" s="12" t="s">
        <v>118</v>
      </c>
      <c r="J199" s="12" t="s">
        <v>1798</v>
      </c>
    </row>
    <row r="200" customFormat="false" ht="23.85" hidden="false" customHeight="false" outlineLevel="0" collapsed="false">
      <c r="A200" s="12" t="s">
        <v>57</v>
      </c>
      <c r="B200" s="12" t="s">
        <v>283</v>
      </c>
      <c r="C200" s="12" t="s">
        <v>683</v>
      </c>
      <c r="D200" s="12" t="s">
        <v>684</v>
      </c>
      <c r="E200" s="12" t="s">
        <v>293</v>
      </c>
      <c r="F200" s="12" t="s">
        <v>1810</v>
      </c>
      <c r="G200" s="12" t="s">
        <v>1797</v>
      </c>
      <c r="H200" s="12"/>
      <c r="I200" s="12" t="s">
        <v>118</v>
      </c>
      <c r="J200" s="12" t="s">
        <v>1798</v>
      </c>
    </row>
    <row r="201" customFormat="false" ht="23.85" hidden="false" customHeight="false" outlineLevel="0" collapsed="false">
      <c r="A201" s="12" t="s">
        <v>57</v>
      </c>
      <c r="B201" s="12" t="s">
        <v>283</v>
      </c>
      <c r="C201" s="12" t="s">
        <v>685</v>
      </c>
      <c r="D201" s="12" t="s">
        <v>686</v>
      </c>
      <c r="E201" s="12" t="s">
        <v>293</v>
      </c>
      <c r="F201" s="12" t="s">
        <v>1810</v>
      </c>
      <c r="G201" s="12" t="s">
        <v>1797</v>
      </c>
      <c r="H201" s="12"/>
      <c r="I201" s="12" t="s">
        <v>118</v>
      </c>
      <c r="J201" s="12" t="s">
        <v>1798</v>
      </c>
    </row>
    <row r="202" customFormat="false" ht="23.85" hidden="false" customHeight="false" outlineLevel="0" collapsed="false">
      <c r="A202" s="12" t="s">
        <v>57</v>
      </c>
      <c r="B202" s="12" t="s">
        <v>283</v>
      </c>
      <c r="C202" s="12" t="s">
        <v>687</v>
      </c>
      <c r="D202" s="12" t="s">
        <v>688</v>
      </c>
      <c r="E202" s="12" t="s">
        <v>293</v>
      </c>
      <c r="F202" s="12" t="s">
        <v>1810</v>
      </c>
      <c r="G202" s="12" t="s">
        <v>1797</v>
      </c>
      <c r="H202" s="12"/>
      <c r="I202" s="12" t="s">
        <v>118</v>
      </c>
      <c r="J202" s="12" t="s">
        <v>1798</v>
      </c>
    </row>
    <row r="203" customFormat="false" ht="23.85" hidden="false" customHeight="false" outlineLevel="0" collapsed="false">
      <c r="A203" s="12" t="s">
        <v>57</v>
      </c>
      <c r="B203" s="12" t="s">
        <v>283</v>
      </c>
      <c r="C203" s="12" t="s">
        <v>689</v>
      </c>
      <c r="D203" s="12" t="s">
        <v>690</v>
      </c>
      <c r="E203" s="12" t="s">
        <v>293</v>
      </c>
      <c r="F203" s="12" t="s">
        <v>1810</v>
      </c>
      <c r="G203" s="12" t="s">
        <v>1797</v>
      </c>
      <c r="H203" s="12"/>
      <c r="I203" s="12" t="s">
        <v>118</v>
      </c>
      <c r="J203" s="12" t="s">
        <v>1798</v>
      </c>
    </row>
    <row r="204" customFormat="false" ht="35.05" hidden="false" customHeight="false" outlineLevel="0" collapsed="false">
      <c r="A204" s="12" t="s">
        <v>57</v>
      </c>
      <c r="B204" s="12" t="s">
        <v>283</v>
      </c>
      <c r="C204" s="12" t="s">
        <v>691</v>
      </c>
      <c r="D204" s="12" t="s">
        <v>692</v>
      </c>
      <c r="E204" s="12" t="s">
        <v>1796</v>
      </c>
      <c r="F204" s="12" t="s">
        <v>1810</v>
      </c>
      <c r="G204" s="12" t="s">
        <v>1797</v>
      </c>
      <c r="H204" s="12"/>
      <c r="I204" s="12" t="s">
        <v>118</v>
      </c>
      <c r="J204" s="12" t="s">
        <v>1798</v>
      </c>
    </row>
    <row r="205" customFormat="false" ht="23.85" hidden="false" customHeight="false" outlineLevel="0" collapsed="false">
      <c r="A205" s="12" t="s">
        <v>57</v>
      </c>
      <c r="B205" s="12" t="s">
        <v>283</v>
      </c>
      <c r="C205" s="12" t="s">
        <v>693</v>
      </c>
      <c r="D205" s="12" t="s">
        <v>694</v>
      </c>
      <c r="E205" s="12" t="s">
        <v>293</v>
      </c>
      <c r="F205" s="12" t="s">
        <v>1810</v>
      </c>
      <c r="G205" s="12" t="s">
        <v>1797</v>
      </c>
      <c r="H205" s="12"/>
      <c r="I205" s="12" t="s">
        <v>118</v>
      </c>
      <c r="J205" s="12" t="s">
        <v>1798</v>
      </c>
    </row>
    <row r="206" customFormat="false" ht="23.85" hidden="false" customHeight="false" outlineLevel="0" collapsed="false">
      <c r="A206" s="12" t="s">
        <v>57</v>
      </c>
      <c r="B206" s="12" t="s">
        <v>283</v>
      </c>
      <c r="C206" s="12" t="s">
        <v>695</v>
      </c>
      <c r="D206" s="12" t="s">
        <v>696</v>
      </c>
      <c r="E206" s="12" t="s">
        <v>293</v>
      </c>
      <c r="F206" s="12" t="s">
        <v>1810</v>
      </c>
      <c r="G206" s="12" t="s">
        <v>1797</v>
      </c>
      <c r="H206" s="12"/>
      <c r="I206" s="12" t="s">
        <v>118</v>
      </c>
      <c r="J206" s="12" t="s">
        <v>1798</v>
      </c>
    </row>
    <row r="207" customFormat="false" ht="23.85" hidden="false" customHeight="false" outlineLevel="0" collapsed="false">
      <c r="A207" s="12" t="s">
        <v>57</v>
      </c>
      <c r="B207" s="12" t="s">
        <v>283</v>
      </c>
      <c r="C207" s="12" t="s">
        <v>697</v>
      </c>
      <c r="D207" s="12" t="s">
        <v>698</v>
      </c>
      <c r="E207" s="12" t="s">
        <v>293</v>
      </c>
      <c r="F207" s="12" t="s">
        <v>1810</v>
      </c>
      <c r="G207" s="12" t="s">
        <v>1797</v>
      </c>
      <c r="H207" s="12"/>
      <c r="I207" s="12" t="s">
        <v>118</v>
      </c>
      <c r="J207" s="12" t="s">
        <v>1798</v>
      </c>
    </row>
    <row r="208" customFormat="false" ht="23.85" hidden="false" customHeight="false" outlineLevel="0" collapsed="false">
      <c r="A208" s="12" t="s">
        <v>57</v>
      </c>
      <c r="B208" s="12" t="s">
        <v>283</v>
      </c>
      <c r="C208" s="12" t="s">
        <v>699</v>
      </c>
      <c r="D208" s="12" t="s">
        <v>700</v>
      </c>
      <c r="E208" s="12" t="s">
        <v>293</v>
      </c>
      <c r="F208" s="12" t="s">
        <v>1810</v>
      </c>
      <c r="G208" s="12" t="s">
        <v>1797</v>
      </c>
      <c r="H208" s="12"/>
      <c r="I208" s="12" t="s">
        <v>118</v>
      </c>
      <c r="J208" s="12" t="s">
        <v>1798</v>
      </c>
    </row>
    <row r="209" customFormat="false" ht="35.05" hidden="false" customHeight="false" outlineLevel="0" collapsed="false">
      <c r="A209" s="12" t="s">
        <v>57</v>
      </c>
      <c r="B209" s="12" t="s">
        <v>283</v>
      </c>
      <c r="C209" s="12" t="s">
        <v>701</v>
      </c>
      <c r="D209" s="12" t="s">
        <v>702</v>
      </c>
      <c r="E209" s="12" t="s">
        <v>1796</v>
      </c>
      <c r="F209" s="12" t="s">
        <v>1810</v>
      </c>
      <c r="G209" s="12" t="s">
        <v>1797</v>
      </c>
      <c r="H209" s="12"/>
      <c r="I209" s="12" t="s">
        <v>118</v>
      </c>
      <c r="J209" s="12" t="s">
        <v>1798</v>
      </c>
    </row>
    <row r="210" customFormat="false" ht="23.85" hidden="false" customHeight="false" outlineLevel="0" collapsed="false">
      <c r="A210" s="12" t="s">
        <v>57</v>
      </c>
      <c r="B210" s="12" t="s">
        <v>283</v>
      </c>
      <c r="C210" s="12" t="s">
        <v>703</v>
      </c>
      <c r="D210" s="12" t="s">
        <v>704</v>
      </c>
      <c r="E210" s="12" t="s">
        <v>293</v>
      </c>
      <c r="F210" s="12" t="s">
        <v>1810</v>
      </c>
      <c r="G210" s="12" t="s">
        <v>1797</v>
      </c>
      <c r="H210" s="12"/>
      <c r="I210" s="12" t="s">
        <v>118</v>
      </c>
      <c r="J210" s="12" t="s">
        <v>1798</v>
      </c>
    </row>
    <row r="211" customFormat="false" ht="23.85" hidden="false" customHeight="false" outlineLevel="0" collapsed="false">
      <c r="A211" s="12" t="s">
        <v>57</v>
      </c>
      <c r="B211" s="12" t="s">
        <v>283</v>
      </c>
      <c r="C211" s="12" t="s">
        <v>705</v>
      </c>
      <c r="D211" s="12" t="s">
        <v>706</v>
      </c>
      <c r="E211" s="12" t="s">
        <v>293</v>
      </c>
      <c r="F211" s="12" t="s">
        <v>1810</v>
      </c>
      <c r="G211" s="12" t="s">
        <v>1797</v>
      </c>
      <c r="H211" s="12"/>
      <c r="I211" s="12" t="s">
        <v>118</v>
      </c>
      <c r="J211" s="12" t="s">
        <v>1798</v>
      </c>
    </row>
    <row r="212" customFormat="false" ht="23.85" hidden="false" customHeight="false" outlineLevel="0" collapsed="false">
      <c r="A212" s="12" t="s">
        <v>57</v>
      </c>
      <c r="B212" s="12" t="s">
        <v>283</v>
      </c>
      <c r="C212" s="12" t="s">
        <v>707</v>
      </c>
      <c r="D212" s="12" t="s">
        <v>708</v>
      </c>
      <c r="E212" s="12" t="s">
        <v>293</v>
      </c>
      <c r="F212" s="12" t="s">
        <v>1810</v>
      </c>
      <c r="G212" s="12" t="s">
        <v>1797</v>
      </c>
      <c r="H212" s="12"/>
      <c r="I212" s="12" t="s">
        <v>118</v>
      </c>
      <c r="J212" s="12" t="s">
        <v>1798</v>
      </c>
    </row>
    <row r="213" customFormat="false" ht="23.85" hidden="false" customHeight="false" outlineLevel="0" collapsed="false">
      <c r="A213" s="12" t="s">
        <v>57</v>
      </c>
      <c r="B213" s="12" t="s">
        <v>283</v>
      </c>
      <c r="C213" s="12" t="s">
        <v>709</v>
      </c>
      <c r="D213" s="12" t="s">
        <v>710</v>
      </c>
      <c r="E213" s="12" t="s">
        <v>293</v>
      </c>
      <c r="F213" s="12" t="s">
        <v>1810</v>
      </c>
      <c r="G213" s="12" t="s">
        <v>1797</v>
      </c>
      <c r="H213" s="12"/>
      <c r="I213" s="12" t="s">
        <v>118</v>
      </c>
      <c r="J213" s="12" t="s">
        <v>1798</v>
      </c>
    </row>
    <row r="214" customFormat="false" ht="35.05" hidden="false" customHeight="false" outlineLevel="0" collapsed="false">
      <c r="A214" s="12" t="s">
        <v>57</v>
      </c>
      <c r="B214" s="12" t="s">
        <v>283</v>
      </c>
      <c r="C214" s="12" t="s">
        <v>711</v>
      </c>
      <c r="D214" s="12" t="s">
        <v>712</v>
      </c>
      <c r="E214" s="12" t="s">
        <v>1796</v>
      </c>
      <c r="F214" s="12" t="s">
        <v>1810</v>
      </c>
      <c r="G214" s="12" t="s">
        <v>1797</v>
      </c>
      <c r="H214" s="12"/>
      <c r="I214" s="12" t="s">
        <v>118</v>
      </c>
      <c r="J214" s="12" t="s">
        <v>1798</v>
      </c>
    </row>
    <row r="215" customFormat="false" ht="23.85" hidden="false" customHeight="false" outlineLevel="0" collapsed="false">
      <c r="A215" s="12" t="s">
        <v>57</v>
      </c>
      <c r="B215" s="12" t="s">
        <v>283</v>
      </c>
      <c r="C215" s="12" t="s">
        <v>713</v>
      </c>
      <c r="D215" s="12" t="s">
        <v>714</v>
      </c>
      <c r="E215" s="12" t="s">
        <v>293</v>
      </c>
      <c r="F215" s="12" t="s">
        <v>1810</v>
      </c>
      <c r="G215" s="12" t="s">
        <v>1797</v>
      </c>
      <c r="H215" s="12"/>
      <c r="I215" s="12" t="s">
        <v>118</v>
      </c>
      <c r="J215" s="12" t="s">
        <v>1798</v>
      </c>
    </row>
    <row r="216" customFormat="false" ht="23.85" hidden="false" customHeight="false" outlineLevel="0" collapsed="false">
      <c r="A216" s="12" t="s">
        <v>57</v>
      </c>
      <c r="B216" s="12" t="s">
        <v>283</v>
      </c>
      <c r="C216" s="12" t="s">
        <v>715</v>
      </c>
      <c r="D216" s="12" t="s">
        <v>716</v>
      </c>
      <c r="E216" s="12" t="s">
        <v>293</v>
      </c>
      <c r="F216" s="12" t="s">
        <v>1810</v>
      </c>
      <c r="G216" s="12" t="s">
        <v>1797</v>
      </c>
      <c r="H216" s="12"/>
      <c r="I216" s="12" t="s">
        <v>118</v>
      </c>
      <c r="J216" s="12" t="s">
        <v>1798</v>
      </c>
    </row>
    <row r="217" customFormat="false" ht="23.85" hidden="false" customHeight="false" outlineLevel="0" collapsed="false">
      <c r="A217" s="12" t="s">
        <v>57</v>
      </c>
      <c r="B217" s="12" t="s">
        <v>283</v>
      </c>
      <c r="C217" s="12" t="s">
        <v>717</v>
      </c>
      <c r="D217" s="12" t="s">
        <v>718</v>
      </c>
      <c r="E217" s="12" t="s">
        <v>293</v>
      </c>
      <c r="F217" s="12" t="s">
        <v>1810</v>
      </c>
      <c r="G217" s="12" t="s">
        <v>1797</v>
      </c>
      <c r="H217" s="12"/>
      <c r="I217" s="12" t="s">
        <v>118</v>
      </c>
      <c r="J217" s="12" t="s">
        <v>1798</v>
      </c>
    </row>
    <row r="218" customFormat="false" ht="23.85" hidden="false" customHeight="false" outlineLevel="0" collapsed="false">
      <c r="A218" s="12" t="s">
        <v>57</v>
      </c>
      <c r="B218" s="12" t="s">
        <v>283</v>
      </c>
      <c r="C218" s="12" t="s">
        <v>719</v>
      </c>
      <c r="D218" s="12" t="s">
        <v>720</v>
      </c>
      <c r="E218" s="12" t="s">
        <v>293</v>
      </c>
      <c r="F218" s="12" t="s">
        <v>1810</v>
      </c>
      <c r="G218" s="12" t="s">
        <v>1797</v>
      </c>
      <c r="H218" s="12"/>
      <c r="I218" s="12" t="s">
        <v>118</v>
      </c>
      <c r="J218" s="12" t="s">
        <v>1798</v>
      </c>
    </row>
    <row r="219" customFormat="false" ht="23.85" hidden="false" customHeight="false" outlineLevel="0" collapsed="false">
      <c r="A219" s="12" t="s">
        <v>57</v>
      </c>
      <c r="B219" s="12" t="s">
        <v>283</v>
      </c>
      <c r="C219" s="12" t="s">
        <v>721</v>
      </c>
      <c r="D219" s="12" t="s">
        <v>722</v>
      </c>
      <c r="E219" s="12" t="s">
        <v>293</v>
      </c>
      <c r="F219" s="12" t="s">
        <v>1810</v>
      </c>
      <c r="G219" s="12" t="s">
        <v>1797</v>
      </c>
      <c r="H219" s="12"/>
      <c r="I219" s="12" t="s">
        <v>118</v>
      </c>
      <c r="J219" s="12" t="s">
        <v>1798</v>
      </c>
    </row>
    <row r="220" customFormat="false" ht="23.85" hidden="false" customHeight="false" outlineLevel="0" collapsed="false">
      <c r="A220" s="12" t="s">
        <v>57</v>
      </c>
      <c r="B220" s="12" t="s">
        <v>283</v>
      </c>
      <c r="C220" s="12" t="s">
        <v>723</v>
      </c>
      <c r="D220" s="12" t="s">
        <v>724</v>
      </c>
      <c r="E220" s="12" t="s">
        <v>293</v>
      </c>
      <c r="F220" s="12" t="s">
        <v>1810</v>
      </c>
      <c r="G220" s="12" t="s">
        <v>1797</v>
      </c>
      <c r="H220" s="12"/>
      <c r="I220" s="12" t="s">
        <v>118</v>
      </c>
      <c r="J220" s="12" t="s">
        <v>1798</v>
      </c>
    </row>
    <row r="221" customFormat="false" ht="35.05" hidden="false" customHeight="false" outlineLevel="0" collapsed="false">
      <c r="A221" s="12" t="s">
        <v>57</v>
      </c>
      <c r="B221" s="12" t="s">
        <v>283</v>
      </c>
      <c r="C221" s="12" t="s">
        <v>725</v>
      </c>
      <c r="D221" s="12" t="s">
        <v>726</v>
      </c>
      <c r="E221" s="12" t="s">
        <v>1796</v>
      </c>
      <c r="F221" s="12" t="s">
        <v>1810</v>
      </c>
      <c r="G221" s="12" t="s">
        <v>1797</v>
      </c>
      <c r="H221" s="12"/>
      <c r="I221" s="12" t="s">
        <v>118</v>
      </c>
      <c r="J221" s="12" t="s">
        <v>1798</v>
      </c>
    </row>
    <row r="222" customFormat="false" ht="23.85" hidden="false" customHeight="false" outlineLevel="0" collapsed="false">
      <c r="A222" s="12" t="s">
        <v>57</v>
      </c>
      <c r="B222" s="12" t="s">
        <v>283</v>
      </c>
      <c r="C222" s="12" t="s">
        <v>727</v>
      </c>
      <c r="D222" s="12" t="s">
        <v>728</v>
      </c>
      <c r="E222" s="12" t="s">
        <v>293</v>
      </c>
      <c r="F222" s="12" t="s">
        <v>1810</v>
      </c>
      <c r="G222" s="12" t="s">
        <v>1797</v>
      </c>
      <c r="H222" s="12"/>
      <c r="I222" s="12" t="s">
        <v>118</v>
      </c>
      <c r="J222" s="12" t="s">
        <v>1798</v>
      </c>
    </row>
    <row r="223" customFormat="false" ht="23.85" hidden="false" customHeight="false" outlineLevel="0" collapsed="false">
      <c r="A223" s="12" t="s">
        <v>57</v>
      </c>
      <c r="B223" s="12" t="s">
        <v>283</v>
      </c>
      <c r="C223" s="12" t="s">
        <v>729</v>
      </c>
      <c r="D223" s="12" t="s">
        <v>726</v>
      </c>
      <c r="E223" s="12" t="s">
        <v>293</v>
      </c>
      <c r="F223" s="12" t="s">
        <v>1810</v>
      </c>
      <c r="G223" s="12" t="s">
        <v>1797</v>
      </c>
      <c r="H223" s="12"/>
      <c r="I223" s="12" t="s">
        <v>118</v>
      </c>
      <c r="J223" s="12" t="s">
        <v>1798</v>
      </c>
    </row>
    <row r="224" customFormat="false" ht="23.85" hidden="false" customHeight="false" outlineLevel="0" collapsed="false">
      <c r="A224" s="12" t="s">
        <v>57</v>
      </c>
      <c r="B224" s="12" t="s">
        <v>283</v>
      </c>
      <c r="C224" s="12" t="s">
        <v>730</v>
      </c>
      <c r="D224" s="12" t="s">
        <v>731</v>
      </c>
      <c r="E224" s="12" t="s">
        <v>293</v>
      </c>
      <c r="F224" s="12" t="s">
        <v>1810</v>
      </c>
      <c r="G224" s="12" t="s">
        <v>1797</v>
      </c>
      <c r="H224" s="12"/>
      <c r="I224" s="12" t="s">
        <v>118</v>
      </c>
      <c r="J224" s="12" t="s">
        <v>1798</v>
      </c>
    </row>
    <row r="225" customFormat="false" ht="23.85" hidden="false" customHeight="false" outlineLevel="0" collapsed="false">
      <c r="A225" s="12" t="s">
        <v>57</v>
      </c>
      <c r="B225" s="12" t="s">
        <v>338</v>
      </c>
      <c r="C225" s="12" t="s">
        <v>734</v>
      </c>
      <c r="D225" s="12" t="s">
        <v>735</v>
      </c>
      <c r="E225" s="12" t="s">
        <v>293</v>
      </c>
      <c r="F225" s="12" t="s">
        <v>1807</v>
      </c>
      <c r="G225" s="12" t="s">
        <v>1797</v>
      </c>
      <c r="H225" s="12"/>
      <c r="I225" s="12" t="s">
        <v>118</v>
      </c>
      <c r="J225" s="12" t="s">
        <v>1798</v>
      </c>
    </row>
    <row r="226" customFormat="false" ht="23.85" hidden="false" customHeight="false" outlineLevel="0" collapsed="false">
      <c r="A226" s="12" t="s">
        <v>57</v>
      </c>
      <c r="B226" s="12" t="s">
        <v>338</v>
      </c>
      <c r="C226" s="12" t="s">
        <v>736</v>
      </c>
      <c r="D226" s="12" t="s">
        <v>737</v>
      </c>
      <c r="E226" s="12" t="s">
        <v>293</v>
      </c>
      <c r="F226" s="12" t="s">
        <v>1807</v>
      </c>
      <c r="G226" s="12" t="s">
        <v>1797</v>
      </c>
      <c r="H226" s="12"/>
      <c r="I226" s="12" t="s">
        <v>118</v>
      </c>
      <c r="J226" s="12" t="s">
        <v>1798</v>
      </c>
    </row>
    <row r="227" customFormat="false" ht="23.85" hidden="false" customHeight="false" outlineLevel="0" collapsed="false">
      <c r="A227" s="12" t="s">
        <v>57</v>
      </c>
      <c r="B227" s="12" t="s">
        <v>338</v>
      </c>
      <c r="C227" s="12" t="s">
        <v>738</v>
      </c>
      <c r="D227" s="12" t="s">
        <v>496</v>
      </c>
      <c r="E227" s="12" t="s">
        <v>293</v>
      </c>
      <c r="F227" s="12" t="s">
        <v>1807</v>
      </c>
      <c r="G227" s="12" t="s">
        <v>1803</v>
      </c>
      <c r="H227" s="12" t="s">
        <v>1809</v>
      </c>
      <c r="I227" s="12" t="s">
        <v>118</v>
      </c>
      <c r="J227" s="12" t="s">
        <v>1798</v>
      </c>
    </row>
    <row r="228" customFormat="false" ht="23.85" hidden="false" customHeight="false" outlineLevel="0" collapsed="false">
      <c r="A228" s="12" t="s">
        <v>57</v>
      </c>
      <c r="B228" s="12" t="s">
        <v>338</v>
      </c>
      <c r="C228" s="12" t="s">
        <v>739</v>
      </c>
      <c r="D228" s="12" t="s">
        <v>740</v>
      </c>
      <c r="E228" s="12" t="s">
        <v>293</v>
      </c>
      <c r="F228" s="12" t="s">
        <v>1807</v>
      </c>
      <c r="G228" s="12" t="s">
        <v>1803</v>
      </c>
      <c r="H228" s="12" t="s">
        <v>1811</v>
      </c>
      <c r="I228" s="12" t="s">
        <v>118</v>
      </c>
      <c r="J228" s="12" t="s">
        <v>1798</v>
      </c>
    </row>
    <row r="229" customFormat="false" ht="23.85" hidden="false" customHeight="false" outlineLevel="0" collapsed="false">
      <c r="A229" s="12" t="s">
        <v>57</v>
      </c>
      <c r="B229" s="12" t="s">
        <v>338</v>
      </c>
      <c r="C229" s="12" t="s">
        <v>741</v>
      </c>
      <c r="D229" s="12" t="s">
        <v>742</v>
      </c>
      <c r="E229" s="12" t="s">
        <v>293</v>
      </c>
      <c r="F229" s="12" t="s">
        <v>1807</v>
      </c>
      <c r="G229" s="12" t="s">
        <v>1797</v>
      </c>
      <c r="H229" s="12"/>
      <c r="I229" s="12" t="s">
        <v>118</v>
      </c>
      <c r="J229" s="12" t="s">
        <v>1798</v>
      </c>
    </row>
    <row r="230" customFormat="false" ht="23.85" hidden="false" customHeight="false" outlineLevel="0" collapsed="false">
      <c r="A230" s="12" t="s">
        <v>57</v>
      </c>
      <c r="B230" s="12" t="s">
        <v>338</v>
      </c>
      <c r="C230" s="12" t="s">
        <v>745</v>
      </c>
      <c r="D230" s="12" t="s">
        <v>746</v>
      </c>
      <c r="E230" s="12" t="s">
        <v>293</v>
      </c>
      <c r="F230" s="12" t="s">
        <v>1810</v>
      </c>
      <c r="G230" s="12" t="s">
        <v>1797</v>
      </c>
      <c r="H230" s="12"/>
      <c r="I230" s="12" t="s">
        <v>118</v>
      </c>
      <c r="J230" s="12" t="s">
        <v>1798</v>
      </c>
    </row>
    <row r="231" customFormat="false" ht="23.85" hidden="false" customHeight="false" outlineLevel="0" collapsed="false">
      <c r="A231" s="12" t="s">
        <v>57</v>
      </c>
      <c r="B231" s="12" t="s">
        <v>338</v>
      </c>
      <c r="C231" s="12" t="s">
        <v>749</v>
      </c>
      <c r="D231" s="12" t="s">
        <v>750</v>
      </c>
      <c r="E231" s="12" t="s">
        <v>293</v>
      </c>
      <c r="F231" s="12" t="s">
        <v>1810</v>
      </c>
      <c r="G231" s="12" t="s">
        <v>1797</v>
      </c>
      <c r="H231" s="12"/>
      <c r="I231" s="12" t="s">
        <v>118</v>
      </c>
      <c r="J231" s="12" t="s">
        <v>1798</v>
      </c>
    </row>
    <row r="232" customFormat="false" ht="23.85" hidden="false" customHeight="false" outlineLevel="0" collapsed="false">
      <c r="A232" s="12" t="s">
        <v>57</v>
      </c>
      <c r="B232" s="12" t="s">
        <v>338</v>
      </c>
      <c r="C232" s="12" t="s">
        <v>753</v>
      </c>
      <c r="D232" s="12" t="s">
        <v>754</v>
      </c>
      <c r="E232" s="12" t="s">
        <v>293</v>
      </c>
      <c r="F232" s="12" t="s">
        <v>1810</v>
      </c>
      <c r="G232" s="12" t="s">
        <v>1797</v>
      </c>
      <c r="H232" s="12"/>
      <c r="I232" s="12" t="s">
        <v>118</v>
      </c>
      <c r="J232" s="12" t="s">
        <v>1798</v>
      </c>
    </row>
    <row r="233" customFormat="false" ht="23.85" hidden="false" customHeight="false" outlineLevel="0" collapsed="false">
      <c r="A233" s="12" t="s">
        <v>57</v>
      </c>
      <c r="B233" s="12" t="s">
        <v>338</v>
      </c>
      <c r="C233" s="12" t="s">
        <v>757</v>
      </c>
      <c r="D233" s="12" t="s">
        <v>758</v>
      </c>
      <c r="E233" s="12" t="s">
        <v>293</v>
      </c>
      <c r="F233" s="12" t="s">
        <v>1810</v>
      </c>
      <c r="G233" s="12" t="s">
        <v>1797</v>
      </c>
      <c r="H233" s="12"/>
      <c r="I233" s="12" t="s">
        <v>118</v>
      </c>
      <c r="J233" s="12" t="s">
        <v>1798</v>
      </c>
    </row>
    <row r="234" customFormat="false" ht="23.85" hidden="false" customHeight="false" outlineLevel="0" collapsed="false">
      <c r="A234" s="12" t="s">
        <v>57</v>
      </c>
      <c r="B234" s="12" t="s">
        <v>338</v>
      </c>
      <c r="C234" s="12" t="s">
        <v>761</v>
      </c>
      <c r="D234" s="12" t="s">
        <v>762</v>
      </c>
      <c r="E234" s="12" t="s">
        <v>293</v>
      </c>
      <c r="F234" s="12" t="s">
        <v>1810</v>
      </c>
      <c r="G234" s="12" t="s">
        <v>1797</v>
      </c>
      <c r="H234" s="12"/>
      <c r="I234" s="12" t="s">
        <v>118</v>
      </c>
      <c r="J234" s="12" t="s">
        <v>1798</v>
      </c>
    </row>
    <row r="235" customFormat="false" ht="23.85" hidden="false" customHeight="false" outlineLevel="0" collapsed="false">
      <c r="A235" s="12" t="s">
        <v>57</v>
      </c>
      <c r="B235" s="12" t="s">
        <v>338</v>
      </c>
      <c r="C235" s="12" t="s">
        <v>765</v>
      </c>
      <c r="D235" s="12" t="s">
        <v>766</v>
      </c>
      <c r="E235" s="12" t="s">
        <v>293</v>
      </c>
      <c r="F235" s="12" t="s">
        <v>1810</v>
      </c>
      <c r="G235" s="12" t="s">
        <v>1797</v>
      </c>
      <c r="H235" s="12"/>
      <c r="I235" s="12" t="s">
        <v>118</v>
      </c>
      <c r="J235" s="12" t="s">
        <v>1798</v>
      </c>
    </row>
    <row r="236" customFormat="false" ht="23.85" hidden="false" customHeight="false" outlineLevel="0" collapsed="false">
      <c r="A236" s="12" t="s">
        <v>57</v>
      </c>
      <c r="B236" s="12" t="s">
        <v>338</v>
      </c>
      <c r="C236" s="12" t="s">
        <v>769</v>
      </c>
      <c r="D236" s="12" t="s">
        <v>770</v>
      </c>
      <c r="E236" s="12" t="s">
        <v>293</v>
      </c>
      <c r="F236" s="12" t="s">
        <v>1810</v>
      </c>
      <c r="G236" s="12" t="s">
        <v>1797</v>
      </c>
      <c r="H236" s="12"/>
      <c r="I236" s="12" t="s">
        <v>118</v>
      </c>
      <c r="J236" s="12" t="s">
        <v>1798</v>
      </c>
    </row>
    <row r="237" customFormat="false" ht="23.85" hidden="false" customHeight="false" outlineLevel="0" collapsed="false">
      <c r="A237" s="12" t="s">
        <v>57</v>
      </c>
      <c r="B237" s="12" t="s">
        <v>338</v>
      </c>
      <c r="C237" s="12" t="s">
        <v>773</v>
      </c>
      <c r="D237" s="12" t="s">
        <v>774</v>
      </c>
      <c r="E237" s="12" t="s">
        <v>293</v>
      </c>
      <c r="F237" s="12" t="s">
        <v>1810</v>
      </c>
      <c r="G237" s="12" t="s">
        <v>1797</v>
      </c>
      <c r="H237" s="12"/>
      <c r="I237" s="12" t="s">
        <v>118</v>
      </c>
      <c r="J237" s="12" t="s">
        <v>1798</v>
      </c>
    </row>
    <row r="238" customFormat="false" ht="23.85" hidden="false" customHeight="false" outlineLevel="0" collapsed="false">
      <c r="A238" s="12" t="s">
        <v>57</v>
      </c>
      <c r="B238" s="12" t="s">
        <v>338</v>
      </c>
      <c r="C238" s="12" t="s">
        <v>777</v>
      </c>
      <c r="D238" s="12" t="s">
        <v>778</v>
      </c>
      <c r="E238" s="12" t="s">
        <v>293</v>
      </c>
      <c r="F238" s="12" t="s">
        <v>1810</v>
      </c>
      <c r="G238" s="12" t="s">
        <v>1797</v>
      </c>
      <c r="H238" s="12"/>
      <c r="I238" s="12" t="s">
        <v>118</v>
      </c>
      <c r="J238" s="12" t="s">
        <v>1798</v>
      </c>
    </row>
    <row r="239" customFormat="false" ht="23.85" hidden="false" customHeight="false" outlineLevel="0" collapsed="false">
      <c r="A239" s="12" t="s">
        <v>57</v>
      </c>
      <c r="B239" s="12" t="s">
        <v>338</v>
      </c>
      <c r="C239" s="12" t="s">
        <v>779</v>
      </c>
      <c r="D239" s="12" t="s">
        <v>780</v>
      </c>
      <c r="E239" s="12" t="s">
        <v>293</v>
      </c>
      <c r="F239" s="12" t="s">
        <v>1805</v>
      </c>
      <c r="G239" s="12" t="s">
        <v>1797</v>
      </c>
      <c r="H239" s="12"/>
      <c r="I239" s="12" t="s">
        <v>118</v>
      </c>
      <c r="J239" s="12" t="s">
        <v>1798</v>
      </c>
    </row>
    <row r="240" customFormat="false" ht="23.85" hidden="false" customHeight="false" outlineLevel="0" collapsed="false">
      <c r="A240" s="12" t="s">
        <v>57</v>
      </c>
      <c r="B240" s="12" t="s">
        <v>338</v>
      </c>
      <c r="C240" s="12" t="s">
        <v>781</v>
      </c>
      <c r="D240" s="12" t="s">
        <v>782</v>
      </c>
      <c r="E240" s="12" t="s">
        <v>293</v>
      </c>
      <c r="F240" s="12" t="s">
        <v>1805</v>
      </c>
      <c r="G240" s="12" t="s">
        <v>1797</v>
      </c>
      <c r="H240" s="12"/>
      <c r="I240" s="12" t="s">
        <v>118</v>
      </c>
      <c r="J240" s="12" t="s">
        <v>1798</v>
      </c>
    </row>
    <row r="241" customFormat="false" ht="23.85" hidden="false" customHeight="false" outlineLevel="0" collapsed="false">
      <c r="A241" s="12" t="s">
        <v>57</v>
      </c>
      <c r="B241" s="12" t="s">
        <v>338</v>
      </c>
      <c r="C241" s="12" t="s">
        <v>783</v>
      </c>
      <c r="D241" s="12" t="s">
        <v>784</v>
      </c>
      <c r="E241" s="12" t="s">
        <v>293</v>
      </c>
      <c r="F241" s="12" t="s">
        <v>1805</v>
      </c>
      <c r="G241" s="12" t="s">
        <v>1803</v>
      </c>
      <c r="H241" s="12" t="s">
        <v>1812</v>
      </c>
      <c r="I241" s="12" t="s">
        <v>118</v>
      </c>
      <c r="J241" s="12" t="s">
        <v>1798</v>
      </c>
    </row>
    <row r="242" customFormat="false" ht="23.85" hidden="false" customHeight="false" outlineLevel="0" collapsed="false">
      <c r="A242" s="12" t="s">
        <v>57</v>
      </c>
      <c r="B242" s="12" t="s">
        <v>338</v>
      </c>
      <c r="C242" s="12" t="s">
        <v>785</v>
      </c>
      <c r="D242" s="12" t="s">
        <v>786</v>
      </c>
      <c r="E242" s="12" t="s">
        <v>293</v>
      </c>
      <c r="F242" s="12" t="s">
        <v>1805</v>
      </c>
      <c r="G242" s="12" t="s">
        <v>1797</v>
      </c>
      <c r="H242" s="12"/>
      <c r="I242" s="12" t="s">
        <v>118</v>
      </c>
      <c r="J242" s="12" t="s">
        <v>1798</v>
      </c>
    </row>
    <row r="243" customFormat="false" ht="23.85" hidden="false" customHeight="false" outlineLevel="0" collapsed="false">
      <c r="A243" s="12" t="s">
        <v>57</v>
      </c>
      <c r="B243" s="12" t="s">
        <v>338</v>
      </c>
      <c r="C243" s="12" t="s">
        <v>787</v>
      </c>
      <c r="D243" s="12" t="s">
        <v>788</v>
      </c>
      <c r="E243" s="12" t="s">
        <v>293</v>
      </c>
      <c r="F243" s="12" t="s">
        <v>1805</v>
      </c>
      <c r="G243" s="12" t="s">
        <v>1797</v>
      </c>
      <c r="H243" s="12"/>
      <c r="I243" s="12" t="s">
        <v>118</v>
      </c>
      <c r="J243" s="12" t="s">
        <v>1798</v>
      </c>
    </row>
    <row r="244" customFormat="false" ht="23.85" hidden="false" customHeight="false" outlineLevel="0" collapsed="false">
      <c r="A244" s="12" t="s">
        <v>57</v>
      </c>
      <c r="B244" s="12" t="s">
        <v>338</v>
      </c>
      <c r="C244" s="12" t="s">
        <v>789</v>
      </c>
      <c r="D244" s="12" t="s">
        <v>790</v>
      </c>
      <c r="E244" s="12" t="s">
        <v>293</v>
      </c>
      <c r="F244" s="12" t="s">
        <v>1805</v>
      </c>
      <c r="G244" s="12" t="s">
        <v>1797</v>
      </c>
      <c r="H244" s="12"/>
      <c r="I244" s="12" t="s">
        <v>118</v>
      </c>
      <c r="J244" s="12" t="s">
        <v>1798</v>
      </c>
    </row>
    <row r="245" customFormat="false" ht="23.85" hidden="false" customHeight="false" outlineLevel="0" collapsed="false">
      <c r="A245" s="12" t="s">
        <v>57</v>
      </c>
      <c r="B245" s="12" t="s">
        <v>338</v>
      </c>
      <c r="C245" s="12" t="s">
        <v>791</v>
      </c>
      <c r="D245" s="12" t="s">
        <v>792</v>
      </c>
      <c r="E245" s="12" t="s">
        <v>293</v>
      </c>
      <c r="F245" s="12" t="s">
        <v>1813</v>
      </c>
      <c r="G245" s="12" t="s">
        <v>1797</v>
      </c>
      <c r="H245" s="12"/>
      <c r="I245" s="12" t="s">
        <v>118</v>
      </c>
      <c r="J245" s="12" t="s">
        <v>1798</v>
      </c>
    </row>
    <row r="246" customFormat="false" ht="23.85" hidden="false" customHeight="false" outlineLevel="0" collapsed="false">
      <c r="A246" s="12" t="s">
        <v>58</v>
      </c>
      <c r="B246" s="12" t="s">
        <v>283</v>
      </c>
      <c r="C246" s="12" t="s">
        <v>1814</v>
      </c>
      <c r="D246" s="12" t="s">
        <v>1815</v>
      </c>
      <c r="E246" s="12" t="s">
        <v>293</v>
      </c>
      <c r="F246" s="12"/>
      <c r="G246" s="12" t="s">
        <v>1797</v>
      </c>
      <c r="H246" s="12"/>
      <c r="I246" s="12" t="s">
        <v>118</v>
      </c>
      <c r="J246" s="12" t="s">
        <v>1798</v>
      </c>
    </row>
    <row r="247" customFormat="false" ht="23.85" hidden="false" customHeight="false" outlineLevel="0" collapsed="false">
      <c r="A247" s="12" t="s">
        <v>58</v>
      </c>
      <c r="B247" s="12" t="s">
        <v>283</v>
      </c>
      <c r="C247" s="12" t="s">
        <v>817</v>
      </c>
      <c r="D247" s="12" t="s">
        <v>818</v>
      </c>
      <c r="E247" s="12" t="s">
        <v>293</v>
      </c>
      <c r="F247" s="12"/>
      <c r="G247" s="12" t="s">
        <v>1797</v>
      </c>
      <c r="H247" s="12"/>
      <c r="I247" s="12" t="s">
        <v>118</v>
      </c>
      <c r="J247" s="12" t="s">
        <v>1798</v>
      </c>
    </row>
    <row r="248" customFormat="false" ht="23.85" hidden="false" customHeight="false" outlineLevel="0" collapsed="false">
      <c r="A248" s="12" t="s">
        <v>58</v>
      </c>
      <c r="B248" s="12" t="s">
        <v>283</v>
      </c>
      <c r="C248" s="12" t="s">
        <v>819</v>
      </c>
      <c r="D248" s="12" t="s">
        <v>820</v>
      </c>
      <c r="E248" s="12" t="s">
        <v>293</v>
      </c>
      <c r="F248" s="12"/>
      <c r="G248" s="12" t="s">
        <v>1797</v>
      </c>
      <c r="H248" s="12"/>
      <c r="I248" s="12" t="s">
        <v>118</v>
      </c>
      <c r="J248" s="12" t="s">
        <v>1798</v>
      </c>
    </row>
    <row r="249" customFormat="false" ht="23.85" hidden="false" customHeight="false" outlineLevel="0" collapsed="false">
      <c r="A249" s="12" t="s">
        <v>58</v>
      </c>
      <c r="B249" s="12" t="s">
        <v>283</v>
      </c>
      <c r="C249" s="12" t="s">
        <v>821</v>
      </c>
      <c r="D249" s="12" t="s">
        <v>822</v>
      </c>
      <c r="E249" s="12" t="s">
        <v>293</v>
      </c>
      <c r="F249" s="12"/>
      <c r="G249" s="12" t="s">
        <v>1797</v>
      </c>
      <c r="H249" s="12"/>
      <c r="I249" s="12" t="s">
        <v>118</v>
      </c>
      <c r="J249" s="12" t="s">
        <v>1798</v>
      </c>
    </row>
    <row r="250" customFormat="false" ht="35.05" hidden="false" customHeight="false" outlineLevel="0" collapsed="false">
      <c r="A250" s="12" t="s">
        <v>58</v>
      </c>
      <c r="B250" s="12" t="s">
        <v>283</v>
      </c>
      <c r="C250" s="12" t="s">
        <v>823</v>
      </c>
      <c r="D250" s="12" t="s">
        <v>824</v>
      </c>
      <c r="E250" s="12" t="s">
        <v>1796</v>
      </c>
      <c r="F250" s="12"/>
      <c r="G250" s="12" t="s">
        <v>1797</v>
      </c>
      <c r="H250" s="12"/>
      <c r="I250" s="12" t="s">
        <v>118</v>
      </c>
      <c r="J250" s="12" t="s">
        <v>1798</v>
      </c>
    </row>
    <row r="251" customFormat="false" ht="23.85" hidden="false" customHeight="false" outlineLevel="0" collapsed="false">
      <c r="A251" s="12" t="s">
        <v>58</v>
      </c>
      <c r="B251" s="12" t="s">
        <v>283</v>
      </c>
      <c r="C251" s="12" t="s">
        <v>825</v>
      </c>
      <c r="D251" s="12" t="s">
        <v>826</v>
      </c>
      <c r="E251" s="12" t="s">
        <v>293</v>
      </c>
      <c r="F251" s="12"/>
      <c r="G251" s="12" t="s">
        <v>1797</v>
      </c>
      <c r="H251" s="12"/>
      <c r="I251" s="12" t="s">
        <v>118</v>
      </c>
      <c r="J251" s="12" t="s">
        <v>1798</v>
      </c>
    </row>
    <row r="252" customFormat="false" ht="35.05" hidden="false" customHeight="false" outlineLevel="0" collapsed="false">
      <c r="A252" s="12" t="s">
        <v>58</v>
      </c>
      <c r="B252" s="12" t="s">
        <v>283</v>
      </c>
      <c r="C252" s="12" t="s">
        <v>827</v>
      </c>
      <c r="D252" s="12" t="s">
        <v>828</v>
      </c>
      <c r="E252" s="12" t="s">
        <v>1796</v>
      </c>
      <c r="F252" s="12" t="s">
        <v>1816</v>
      </c>
      <c r="G252" s="12" t="s">
        <v>1797</v>
      </c>
      <c r="H252" s="12"/>
      <c r="I252" s="12" t="s">
        <v>118</v>
      </c>
      <c r="J252" s="12" t="s">
        <v>1798</v>
      </c>
    </row>
    <row r="253" customFormat="false" ht="23.85" hidden="false" customHeight="false" outlineLevel="0" collapsed="false">
      <c r="A253" s="12" t="s">
        <v>58</v>
      </c>
      <c r="B253" s="12" t="s">
        <v>283</v>
      </c>
      <c r="C253" s="12" t="s">
        <v>829</v>
      </c>
      <c r="D253" s="12" t="s">
        <v>830</v>
      </c>
      <c r="E253" s="12" t="s">
        <v>293</v>
      </c>
      <c r="F253" s="12" t="s">
        <v>1816</v>
      </c>
      <c r="G253" s="12" t="s">
        <v>1797</v>
      </c>
      <c r="H253" s="12"/>
      <c r="I253" s="12" t="s">
        <v>118</v>
      </c>
      <c r="J253" s="12" t="s">
        <v>1798</v>
      </c>
    </row>
    <row r="254" customFormat="false" ht="23.85" hidden="false" customHeight="false" outlineLevel="0" collapsed="false">
      <c r="A254" s="12" t="s">
        <v>58</v>
      </c>
      <c r="B254" s="12" t="s">
        <v>283</v>
      </c>
      <c r="C254" s="12" t="s">
        <v>831</v>
      </c>
      <c r="D254" s="12" t="s">
        <v>832</v>
      </c>
      <c r="E254" s="12" t="s">
        <v>293</v>
      </c>
      <c r="F254" s="12" t="s">
        <v>1816</v>
      </c>
      <c r="G254" s="12" t="s">
        <v>1797</v>
      </c>
      <c r="H254" s="12"/>
      <c r="I254" s="12" t="s">
        <v>118</v>
      </c>
      <c r="J254" s="12" t="s">
        <v>1798</v>
      </c>
    </row>
    <row r="255" customFormat="false" ht="23.85" hidden="false" customHeight="false" outlineLevel="0" collapsed="false">
      <c r="A255" s="12" t="s">
        <v>58</v>
      </c>
      <c r="B255" s="12" t="s">
        <v>283</v>
      </c>
      <c r="C255" s="12" t="s">
        <v>833</v>
      </c>
      <c r="D255" s="12" t="s">
        <v>834</v>
      </c>
      <c r="E255" s="12" t="s">
        <v>293</v>
      </c>
      <c r="F255" s="12" t="s">
        <v>1816</v>
      </c>
      <c r="G255" s="12" t="s">
        <v>1797</v>
      </c>
      <c r="H255" s="12"/>
      <c r="I255" s="12" t="s">
        <v>118</v>
      </c>
      <c r="J255" s="12" t="s">
        <v>1798</v>
      </c>
    </row>
    <row r="256" customFormat="false" ht="23.85" hidden="false" customHeight="false" outlineLevel="0" collapsed="false">
      <c r="A256" s="12" t="s">
        <v>58</v>
      </c>
      <c r="B256" s="12" t="s">
        <v>283</v>
      </c>
      <c r="C256" s="12" t="s">
        <v>835</v>
      </c>
      <c r="D256" s="12" t="s">
        <v>836</v>
      </c>
      <c r="E256" s="12" t="s">
        <v>293</v>
      </c>
      <c r="F256" s="12" t="s">
        <v>1816</v>
      </c>
      <c r="G256" s="12" t="s">
        <v>1797</v>
      </c>
      <c r="H256" s="12"/>
      <c r="I256" s="12" t="s">
        <v>118</v>
      </c>
      <c r="J256" s="12" t="s">
        <v>1798</v>
      </c>
    </row>
    <row r="257" customFormat="false" ht="35.05" hidden="false" customHeight="false" outlineLevel="0" collapsed="false">
      <c r="A257" s="12" t="s">
        <v>58</v>
      </c>
      <c r="B257" s="12" t="s">
        <v>283</v>
      </c>
      <c r="C257" s="12" t="s">
        <v>837</v>
      </c>
      <c r="D257" s="12" t="s">
        <v>838</v>
      </c>
      <c r="E257" s="12" t="s">
        <v>1796</v>
      </c>
      <c r="F257" s="12" t="s">
        <v>1817</v>
      </c>
      <c r="G257" s="12" t="s">
        <v>1797</v>
      </c>
      <c r="H257" s="12"/>
      <c r="I257" s="12" t="s">
        <v>118</v>
      </c>
      <c r="J257" s="12" t="s">
        <v>1798</v>
      </c>
    </row>
    <row r="258" customFormat="false" ht="23.85" hidden="false" customHeight="false" outlineLevel="0" collapsed="false">
      <c r="A258" s="12" t="s">
        <v>58</v>
      </c>
      <c r="B258" s="12" t="s">
        <v>283</v>
      </c>
      <c r="C258" s="12" t="s">
        <v>839</v>
      </c>
      <c r="D258" s="12" t="s">
        <v>840</v>
      </c>
      <c r="E258" s="12" t="s">
        <v>293</v>
      </c>
      <c r="F258" s="12" t="s">
        <v>1817</v>
      </c>
      <c r="G258" s="12" t="s">
        <v>1797</v>
      </c>
      <c r="H258" s="12"/>
      <c r="I258" s="12" t="s">
        <v>118</v>
      </c>
      <c r="J258" s="12" t="s">
        <v>1798</v>
      </c>
    </row>
    <row r="259" customFormat="false" ht="23.85" hidden="false" customHeight="false" outlineLevel="0" collapsed="false">
      <c r="A259" s="12" t="s">
        <v>58</v>
      </c>
      <c r="B259" s="12" t="s">
        <v>283</v>
      </c>
      <c r="C259" s="12" t="s">
        <v>841</v>
      </c>
      <c r="D259" s="12" t="s">
        <v>842</v>
      </c>
      <c r="E259" s="12" t="s">
        <v>293</v>
      </c>
      <c r="F259" s="12" t="s">
        <v>1817</v>
      </c>
      <c r="G259" s="12" t="s">
        <v>1797</v>
      </c>
      <c r="H259" s="12"/>
      <c r="I259" s="12" t="s">
        <v>118</v>
      </c>
      <c r="J259" s="12" t="s">
        <v>1798</v>
      </c>
    </row>
    <row r="260" customFormat="false" ht="23.85" hidden="false" customHeight="false" outlineLevel="0" collapsed="false">
      <c r="A260" s="12" t="s">
        <v>58</v>
      </c>
      <c r="B260" s="12" t="s">
        <v>283</v>
      </c>
      <c r="C260" s="12" t="s">
        <v>843</v>
      </c>
      <c r="D260" s="12" t="s">
        <v>844</v>
      </c>
      <c r="E260" s="12" t="s">
        <v>293</v>
      </c>
      <c r="F260" s="12" t="s">
        <v>1817</v>
      </c>
      <c r="G260" s="12" t="s">
        <v>1797</v>
      </c>
      <c r="H260" s="12"/>
      <c r="I260" s="12" t="s">
        <v>118</v>
      </c>
      <c r="J260" s="12" t="s">
        <v>1798</v>
      </c>
    </row>
    <row r="261" customFormat="false" ht="23.85" hidden="false" customHeight="false" outlineLevel="0" collapsed="false">
      <c r="A261" s="12" t="s">
        <v>58</v>
      </c>
      <c r="B261" s="12" t="s">
        <v>283</v>
      </c>
      <c r="C261" s="12" t="s">
        <v>845</v>
      </c>
      <c r="D261" s="12" t="s">
        <v>846</v>
      </c>
      <c r="E261" s="12" t="s">
        <v>293</v>
      </c>
      <c r="F261" s="12" t="s">
        <v>1817</v>
      </c>
      <c r="G261" s="12" t="s">
        <v>1797</v>
      </c>
      <c r="H261" s="12"/>
      <c r="I261" s="12" t="s">
        <v>118</v>
      </c>
      <c r="J261" s="12" t="s">
        <v>1798</v>
      </c>
    </row>
    <row r="262" customFormat="false" ht="35.05" hidden="false" customHeight="false" outlineLevel="0" collapsed="false">
      <c r="A262" s="12" t="s">
        <v>58</v>
      </c>
      <c r="B262" s="12" t="s">
        <v>283</v>
      </c>
      <c r="C262" s="12" t="s">
        <v>847</v>
      </c>
      <c r="D262" s="12" t="s">
        <v>848</v>
      </c>
      <c r="E262" s="12" t="s">
        <v>1796</v>
      </c>
      <c r="F262" s="12" t="s">
        <v>1816</v>
      </c>
      <c r="G262" s="12" t="s">
        <v>1797</v>
      </c>
      <c r="H262" s="12"/>
      <c r="I262" s="12" t="s">
        <v>118</v>
      </c>
      <c r="J262" s="12" t="s">
        <v>1798</v>
      </c>
    </row>
    <row r="263" customFormat="false" ht="23.85" hidden="false" customHeight="false" outlineLevel="0" collapsed="false">
      <c r="A263" s="12" t="s">
        <v>58</v>
      </c>
      <c r="B263" s="12" t="s">
        <v>283</v>
      </c>
      <c r="C263" s="12" t="s">
        <v>849</v>
      </c>
      <c r="D263" s="12" t="s">
        <v>850</v>
      </c>
      <c r="E263" s="12" t="s">
        <v>293</v>
      </c>
      <c r="F263" s="12" t="s">
        <v>1816</v>
      </c>
      <c r="G263" s="12" t="s">
        <v>1797</v>
      </c>
      <c r="H263" s="12"/>
      <c r="I263" s="12" t="s">
        <v>118</v>
      </c>
      <c r="J263" s="12" t="s">
        <v>1798</v>
      </c>
    </row>
    <row r="264" customFormat="false" ht="23.85" hidden="false" customHeight="false" outlineLevel="0" collapsed="false">
      <c r="A264" s="12" t="s">
        <v>58</v>
      </c>
      <c r="B264" s="12" t="s">
        <v>283</v>
      </c>
      <c r="C264" s="12" t="s">
        <v>851</v>
      </c>
      <c r="D264" s="12" t="s">
        <v>852</v>
      </c>
      <c r="E264" s="12" t="s">
        <v>293</v>
      </c>
      <c r="F264" s="12" t="s">
        <v>1816</v>
      </c>
      <c r="G264" s="12" t="s">
        <v>1797</v>
      </c>
      <c r="H264" s="12"/>
      <c r="I264" s="12" t="s">
        <v>118</v>
      </c>
      <c r="J264" s="12" t="s">
        <v>1798</v>
      </c>
    </row>
    <row r="265" customFormat="false" ht="23.85" hidden="false" customHeight="false" outlineLevel="0" collapsed="false">
      <c r="A265" s="12" t="s">
        <v>58</v>
      </c>
      <c r="B265" s="12" t="s">
        <v>283</v>
      </c>
      <c r="C265" s="12" t="s">
        <v>853</v>
      </c>
      <c r="D265" s="12" t="s">
        <v>854</v>
      </c>
      <c r="E265" s="12" t="s">
        <v>293</v>
      </c>
      <c r="F265" s="12" t="s">
        <v>1816</v>
      </c>
      <c r="G265" s="12" t="s">
        <v>1797</v>
      </c>
      <c r="H265" s="12"/>
      <c r="I265" s="12" t="s">
        <v>118</v>
      </c>
      <c r="J265" s="12" t="s">
        <v>1798</v>
      </c>
    </row>
    <row r="266" customFormat="false" ht="23.85" hidden="false" customHeight="false" outlineLevel="0" collapsed="false">
      <c r="A266" s="12" t="s">
        <v>58</v>
      </c>
      <c r="B266" s="12" t="s">
        <v>283</v>
      </c>
      <c r="C266" s="12" t="s">
        <v>855</v>
      </c>
      <c r="D266" s="12" t="s">
        <v>856</v>
      </c>
      <c r="E266" s="12" t="s">
        <v>293</v>
      </c>
      <c r="F266" s="12" t="s">
        <v>1816</v>
      </c>
      <c r="G266" s="12" t="s">
        <v>1797</v>
      </c>
      <c r="H266" s="12"/>
      <c r="I266" s="12" t="s">
        <v>118</v>
      </c>
      <c r="J266" s="12" t="s">
        <v>1798</v>
      </c>
    </row>
    <row r="267" customFormat="false" ht="35.05" hidden="false" customHeight="false" outlineLevel="0" collapsed="false">
      <c r="A267" s="12" t="s">
        <v>58</v>
      </c>
      <c r="B267" s="12" t="s">
        <v>283</v>
      </c>
      <c r="C267" s="12" t="s">
        <v>857</v>
      </c>
      <c r="D267" s="12" t="s">
        <v>858</v>
      </c>
      <c r="E267" s="12" t="s">
        <v>1796</v>
      </c>
      <c r="F267" s="12"/>
      <c r="G267" s="12" t="s">
        <v>1797</v>
      </c>
      <c r="H267" s="12"/>
      <c r="I267" s="12" t="s">
        <v>118</v>
      </c>
      <c r="J267" s="12" t="s">
        <v>1798</v>
      </c>
    </row>
    <row r="268" customFormat="false" ht="35.05" hidden="false" customHeight="false" outlineLevel="0" collapsed="false">
      <c r="A268" s="12" t="s">
        <v>58</v>
      </c>
      <c r="B268" s="12" t="s">
        <v>283</v>
      </c>
      <c r="C268" s="12" t="s">
        <v>859</v>
      </c>
      <c r="D268" s="12" t="s">
        <v>860</v>
      </c>
      <c r="E268" s="12" t="s">
        <v>1796</v>
      </c>
      <c r="F268" s="12"/>
      <c r="G268" s="12" t="s">
        <v>1797</v>
      </c>
      <c r="H268" s="12"/>
      <c r="I268" s="12" t="s">
        <v>118</v>
      </c>
      <c r="J268" s="12" t="s">
        <v>1798</v>
      </c>
    </row>
    <row r="269" customFormat="false" ht="23.85" hidden="false" customHeight="false" outlineLevel="0" collapsed="false">
      <c r="A269" s="12" t="s">
        <v>58</v>
      </c>
      <c r="B269" s="12" t="s">
        <v>283</v>
      </c>
      <c r="C269" s="12" t="s">
        <v>861</v>
      </c>
      <c r="D269" s="12" t="s">
        <v>862</v>
      </c>
      <c r="E269" s="12" t="s">
        <v>293</v>
      </c>
      <c r="F269" s="12"/>
      <c r="G269" s="12" t="s">
        <v>1797</v>
      </c>
      <c r="H269" s="12"/>
      <c r="I269" s="12" t="s">
        <v>118</v>
      </c>
      <c r="J269" s="12" t="s">
        <v>1798</v>
      </c>
    </row>
    <row r="270" customFormat="false" ht="23.85" hidden="false" customHeight="false" outlineLevel="0" collapsed="false">
      <c r="A270" s="12" t="s">
        <v>58</v>
      </c>
      <c r="B270" s="12" t="s">
        <v>283</v>
      </c>
      <c r="C270" s="12" t="s">
        <v>863</v>
      </c>
      <c r="D270" s="12" t="s">
        <v>864</v>
      </c>
      <c r="E270" s="12" t="s">
        <v>293</v>
      </c>
      <c r="F270" s="12"/>
      <c r="G270" s="12" t="s">
        <v>1797</v>
      </c>
      <c r="H270" s="12"/>
      <c r="I270" s="12" t="s">
        <v>118</v>
      </c>
      <c r="J270" s="12" t="s">
        <v>1798</v>
      </c>
    </row>
    <row r="271" customFormat="false" ht="23.85" hidden="false" customHeight="false" outlineLevel="0" collapsed="false">
      <c r="A271" s="12" t="s">
        <v>58</v>
      </c>
      <c r="B271" s="12" t="s">
        <v>283</v>
      </c>
      <c r="C271" s="12" t="s">
        <v>865</v>
      </c>
      <c r="D271" s="12" t="s">
        <v>866</v>
      </c>
      <c r="E271" s="12" t="s">
        <v>293</v>
      </c>
      <c r="F271" s="12"/>
      <c r="G271" s="12" t="s">
        <v>1797</v>
      </c>
      <c r="H271" s="12"/>
      <c r="I271" s="12" t="s">
        <v>118</v>
      </c>
      <c r="J271" s="12" t="s">
        <v>1798</v>
      </c>
    </row>
    <row r="272" customFormat="false" ht="23.85" hidden="false" customHeight="false" outlineLevel="0" collapsed="false">
      <c r="A272" s="12" t="s">
        <v>58</v>
      </c>
      <c r="B272" s="12" t="s">
        <v>283</v>
      </c>
      <c r="C272" s="12" t="s">
        <v>867</v>
      </c>
      <c r="D272" s="12" t="s">
        <v>868</v>
      </c>
      <c r="E272" s="12" t="s">
        <v>293</v>
      </c>
      <c r="F272" s="12"/>
      <c r="G272" s="12" t="s">
        <v>1797</v>
      </c>
      <c r="H272" s="12"/>
      <c r="I272" s="12" t="s">
        <v>118</v>
      </c>
      <c r="J272" s="12" t="s">
        <v>1798</v>
      </c>
    </row>
    <row r="273" customFormat="false" ht="23.85" hidden="false" customHeight="false" outlineLevel="0" collapsed="false">
      <c r="A273" s="12" t="s">
        <v>58</v>
      </c>
      <c r="B273" s="12" t="s">
        <v>283</v>
      </c>
      <c r="C273" s="12" t="s">
        <v>869</v>
      </c>
      <c r="D273" s="12" t="s">
        <v>870</v>
      </c>
      <c r="E273" s="12" t="s">
        <v>293</v>
      </c>
      <c r="F273" s="12"/>
      <c r="G273" s="12" t="s">
        <v>1797</v>
      </c>
      <c r="H273" s="12"/>
      <c r="I273" s="12" t="s">
        <v>118</v>
      </c>
      <c r="J273" s="12" t="s">
        <v>1798</v>
      </c>
    </row>
    <row r="274" customFormat="false" ht="23.85" hidden="false" customHeight="false" outlineLevel="0" collapsed="false">
      <c r="A274" s="12" t="s">
        <v>58</v>
      </c>
      <c r="B274" s="12" t="s">
        <v>283</v>
      </c>
      <c r="C274" s="12" t="s">
        <v>871</v>
      </c>
      <c r="D274" s="12" t="s">
        <v>872</v>
      </c>
      <c r="E274" s="12" t="s">
        <v>293</v>
      </c>
      <c r="F274" s="12"/>
      <c r="G274" s="12" t="s">
        <v>1797</v>
      </c>
      <c r="H274" s="12"/>
      <c r="I274" s="12" t="s">
        <v>118</v>
      </c>
      <c r="J274" s="12" t="s">
        <v>1798</v>
      </c>
    </row>
    <row r="275" customFormat="false" ht="23.85" hidden="false" customHeight="false" outlineLevel="0" collapsed="false">
      <c r="A275" s="12" t="s">
        <v>58</v>
      </c>
      <c r="B275" s="12" t="s">
        <v>283</v>
      </c>
      <c r="C275" s="12" t="s">
        <v>873</v>
      </c>
      <c r="D275" s="12" t="s">
        <v>874</v>
      </c>
      <c r="E275" s="12" t="s">
        <v>293</v>
      </c>
      <c r="F275" s="12"/>
      <c r="G275" s="12" t="s">
        <v>1797</v>
      </c>
      <c r="H275" s="12"/>
      <c r="I275" s="12" t="s">
        <v>118</v>
      </c>
      <c r="J275" s="12" t="s">
        <v>1798</v>
      </c>
    </row>
    <row r="276" customFormat="false" ht="23.85" hidden="false" customHeight="false" outlineLevel="0" collapsed="false">
      <c r="A276" s="12" t="s">
        <v>58</v>
      </c>
      <c r="B276" s="12" t="s">
        <v>283</v>
      </c>
      <c r="C276" s="12" t="s">
        <v>875</v>
      </c>
      <c r="D276" s="12" t="s">
        <v>876</v>
      </c>
      <c r="E276" s="12" t="s">
        <v>293</v>
      </c>
      <c r="F276" s="12"/>
      <c r="G276" s="12" t="s">
        <v>1797</v>
      </c>
      <c r="H276" s="12"/>
      <c r="I276" s="12" t="s">
        <v>118</v>
      </c>
      <c r="J276" s="12" t="s">
        <v>1798</v>
      </c>
    </row>
    <row r="277" customFormat="false" ht="23.85" hidden="false" customHeight="false" outlineLevel="0" collapsed="false">
      <c r="A277" s="12" t="s">
        <v>58</v>
      </c>
      <c r="B277" s="12" t="s">
        <v>283</v>
      </c>
      <c r="C277" s="12" t="s">
        <v>877</v>
      </c>
      <c r="D277" s="12" t="s">
        <v>858</v>
      </c>
      <c r="E277" s="12" t="s">
        <v>293</v>
      </c>
      <c r="F277" s="12"/>
      <c r="G277" s="12" t="s">
        <v>1797</v>
      </c>
      <c r="H277" s="12"/>
      <c r="I277" s="12" t="s">
        <v>118</v>
      </c>
      <c r="J277" s="12" t="s">
        <v>1798</v>
      </c>
    </row>
    <row r="278" customFormat="false" ht="23.85" hidden="false" customHeight="false" outlineLevel="0" collapsed="false">
      <c r="A278" s="12" t="s">
        <v>58</v>
      </c>
      <c r="B278" s="12" t="s">
        <v>283</v>
      </c>
      <c r="C278" s="12" t="s">
        <v>878</v>
      </c>
      <c r="D278" s="12" t="s">
        <v>879</v>
      </c>
      <c r="E278" s="12" t="s">
        <v>293</v>
      </c>
      <c r="F278" s="12"/>
      <c r="G278" s="12" t="s">
        <v>1797</v>
      </c>
      <c r="H278" s="12"/>
      <c r="I278" s="12" t="s">
        <v>118</v>
      </c>
      <c r="J278" s="12" t="s">
        <v>1798</v>
      </c>
    </row>
    <row r="279" customFormat="false" ht="35.05" hidden="false" customHeight="false" outlineLevel="0" collapsed="false">
      <c r="A279" s="12" t="s">
        <v>58</v>
      </c>
      <c r="B279" s="12" t="s">
        <v>283</v>
      </c>
      <c r="C279" s="12" t="s">
        <v>1818</v>
      </c>
      <c r="D279" s="12" t="s">
        <v>1819</v>
      </c>
      <c r="E279" s="12" t="s">
        <v>1796</v>
      </c>
      <c r="F279" s="12"/>
      <c r="G279" s="12" t="s">
        <v>1797</v>
      </c>
      <c r="H279" s="12"/>
      <c r="I279" s="12" t="s">
        <v>118</v>
      </c>
      <c r="J279" s="12" t="s">
        <v>1798</v>
      </c>
    </row>
    <row r="280" customFormat="false" ht="23.85" hidden="false" customHeight="false" outlineLevel="0" collapsed="false">
      <c r="A280" s="12" t="s">
        <v>58</v>
      </c>
      <c r="B280" s="12" t="s">
        <v>283</v>
      </c>
      <c r="C280" s="12" t="s">
        <v>1820</v>
      </c>
      <c r="D280" s="12" t="s">
        <v>1821</v>
      </c>
      <c r="E280" s="12" t="s">
        <v>293</v>
      </c>
      <c r="F280" s="12"/>
      <c r="G280" s="12" t="s">
        <v>1797</v>
      </c>
      <c r="H280" s="12"/>
      <c r="I280" s="12" t="s">
        <v>118</v>
      </c>
      <c r="J280" s="12" t="s">
        <v>1798</v>
      </c>
    </row>
    <row r="281" customFormat="false" ht="23.85" hidden="false" customHeight="false" outlineLevel="0" collapsed="false">
      <c r="A281" s="12" t="s">
        <v>58</v>
      </c>
      <c r="B281" s="12" t="s">
        <v>283</v>
      </c>
      <c r="C281" s="12" t="s">
        <v>1822</v>
      </c>
      <c r="D281" s="12" t="s">
        <v>1823</v>
      </c>
      <c r="E281" s="12" t="s">
        <v>293</v>
      </c>
      <c r="F281" s="12"/>
      <c r="G281" s="12" t="s">
        <v>1797</v>
      </c>
      <c r="H281" s="12"/>
      <c r="I281" s="12" t="s">
        <v>118</v>
      </c>
      <c r="J281" s="12" t="s">
        <v>1798</v>
      </c>
    </row>
    <row r="282" customFormat="false" ht="23.85" hidden="false" customHeight="false" outlineLevel="0" collapsed="false">
      <c r="A282" s="12" t="s">
        <v>58</v>
      </c>
      <c r="B282" s="12" t="s">
        <v>338</v>
      </c>
      <c r="C282" s="12" t="s">
        <v>1824</v>
      </c>
      <c r="D282" s="12" t="s">
        <v>1825</v>
      </c>
      <c r="E282" s="12" t="s">
        <v>293</v>
      </c>
      <c r="F282" s="12"/>
      <c r="G282" s="12" t="s">
        <v>1797</v>
      </c>
      <c r="H282" s="12"/>
      <c r="I282" s="12" t="s">
        <v>118</v>
      </c>
      <c r="J282" s="12" t="s">
        <v>1798</v>
      </c>
    </row>
    <row r="283" customFormat="false" ht="23.85" hidden="false" customHeight="false" outlineLevel="0" collapsed="false">
      <c r="A283" s="12" t="s">
        <v>58</v>
      </c>
      <c r="B283" s="12" t="s">
        <v>338</v>
      </c>
      <c r="C283" s="12" t="s">
        <v>994</v>
      </c>
      <c r="D283" s="12" t="s">
        <v>995</v>
      </c>
      <c r="E283" s="12" t="s">
        <v>293</v>
      </c>
      <c r="F283" s="12"/>
      <c r="G283" s="12" t="s">
        <v>1797</v>
      </c>
      <c r="H283" s="12"/>
      <c r="I283" s="12" t="s">
        <v>118</v>
      </c>
      <c r="J283" s="12" t="s">
        <v>1798</v>
      </c>
    </row>
    <row r="284" customFormat="false" ht="23.85" hidden="false" customHeight="false" outlineLevel="0" collapsed="false">
      <c r="A284" s="12" t="s">
        <v>58</v>
      </c>
      <c r="B284" s="12" t="s">
        <v>338</v>
      </c>
      <c r="C284" s="12" t="s">
        <v>998</v>
      </c>
      <c r="D284" s="12" t="s">
        <v>999</v>
      </c>
      <c r="E284" s="12" t="s">
        <v>293</v>
      </c>
      <c r="F284" s="12"/>
      <c r="G284" s="12" t="s">
        <v>1797</v>
      </c>
      <c r="H284" s="12"/>
      <c r="I284" s="12" t="s">
        <v>118</v>
      </c>
      <c r="J284" s="12" t="s">
        <v>1798</v>
      </c>
    </row>
    <row r="285" customFormat="false" ht="23.85" hidden="false" customHeight="false" outlineLevel="0" collapsed="false">
      <c r="A285" s="12" t="s">
        <v>58</v>
      </c>
      <c r="B285" s="12" t="s">
        <v>338</v>
      </c>
      <c r="C285" s="12" t="s">
        <v>1002</v>
      </c>
      <c r="D285" s="12" t="s">
        <v>1003</v>
      </c>
      <c r="E285" s="12" t="s">
        <v>293</v>
      </c>
      <c r="F285" s="12"/>
      <c r="G285" s="12" t="s">
        <v>1797</v>
      </c>
      <c r="H285" s="12"/>
      <c r="I285" s="12" t="s">
        <v>118</v>
      </c>
      <c r="J285" s="12" t="s">
        <v>1798</v>
      </c>
    </row>
    <row r="286" customFormat="false" ht="23.85" hidden="false" customHeight="false" outlineLevel="0" collapsed="false">
      <c r="A286" s="12" t="s">
        <v>58</v>
      </c>
      <c r="B286" s="12" t="s">
        <v>338</v>
      </c>
      <c r="C286" s="12" t="s">
        <v>1018</v>
      </c>
      <c r="D286" s="12" t="s">
        <v>1019</v>
      </c>
      <c r="E286" s="12" t="s">
        <v>293</v>
      </c>
      <c r="F286" s="12"/>
      <c r="G286" s="12" t="s">
        <v>1797</v>
      </c>
      <c r="H286" s="12"/>
      <c r="I286" s="12" t="s">
        <v>118</v>
      </c>
      <c r="J286" s="12" t="s">
        <v>1798</v>
      </c>
    </row>
    <row r="287" customFormat="false" ht="23.85" hidden="false" customHeight="false" outlineLevel="0" collapsed="false">
      <c r="A287" s="12" t="s">
        <v>58</v>
      </c>
      <c r="B287" s="12" t="s">
        <v>338</v>
      </c>
      <c r="C287" s="12" t="s">
        <v>1022</v>
      </c>
      <c r="D287" s="12" t="s">
        <v>1023</v>
      </c>
      <c r="E287" s="12" t="s">
        <v>293</v>
      </c>
      <c r="F287" s="12"/>
      <c r="G287" s="12" t="s">
        <v>1797</v>
      </c>
      <c r="H287" s="12"/>
      <c r="I287" s="12" t="s">
        <v>118</v>
      </c>
      <c r="J287" s="12" t="s">
        <v>1798</v>
      </c>
    </row>
    <row r="288" customFormat="false" ht="23.85" hidden="false" customHeight="false" outlineLevel="0" collapsed="false">
      <c r="A288" s="12" t="s">
        <v>58</v>
      </c>
      <c r="B288" s="12" t="s">
        <v>338</v>
      </c>
      <c r="C288" s="12" t="s">
        <v>1026</v>
      </c>
      <c r="D288" s="12" t="s">
        <v>1027</v>
      </c>
      <c r="E288" s="12" t="s">
        <v>293</v>
      </c>
      <c r="F288" s="12"/>
      <c r="G288" s="12" t="s">
        <v>1797</v>
      </c>
      <c r="H288" s="12"/>
      <c r="I288" s="12" t="s">
        <v>118</v>
      </c>
      <c r="J288" s="12" t="s">
        <v>1798</v>
      </c>
    </row>
    <row r="289" customFormat="false" ht="23.85" hidden="false" customHeight="false" outlineLevel="0" collapsed="false">
      <c r="A289" s="12" t="s">
        <v>58</v>
      </c>
      <c r="B289" s="12" t="s">
        <v>338</v>
      </c>
      <c r="C289" s="12" t="s">
        <v>1030</v>
      </c>
      <c r="D289" s="12" t="s">
        <v>1031</v>
      </c>
      <c r="E289" s="12" t="s">
        <v>293</v>
      </c>
      <c r="F289" s="12"/>
      <c r="G289" s="12" t="s">
        <v>1797</v>
      </c>
      <c r="H289" s="12"/>
      <c r="I289" s="12" t="s">
        <v>118</v>
      </c>
      <c r="J289" s="12" t="s">
        <v>1798</v>
      </c>
    </row>
    <row r="290" customFormat="false" ht="23.85" hidden="false" customHeight="false" outlineLevel="0" collapsed="false">
      <c r="A290" s="12" t="s">
        <v>58</v>
      </c>
      <c r="B290" s="12" t="s">
        <v>338</v>
      </c>
      <c r="C290" s="12" t="s">
        <v>1034</v>
      </c>
      <c r="D290" s="12" t="s">
        <v>1035</v>
      </c>
      <c r="E290" s="12" t="s">
        <v>293</v>
      </c>
      <c r="F290" s="12"/>
      <c r="G290" s="12" t="s">
        <v>1797</v>
      </c>
      <c r="H290" s="12"/>
      <c r="I290" s="12" t="s">
        <v>118</v>
      </c>
      <c r="J290" s="12" t="s">
        <v>1798</v>
      </c>
    </row>
    <row r="291" customFormat="false" ht="23.85" hidden="false" customHeight="false" outlineLevel="0" collapsed="false">
      <c r="A291" s="12" t="s">
        <v>58</v>
      </c>
      <c r="B291" s="12" t="s">
        <v>338</v>
      </c>
      <c r="C291" s="12" t="s">
        <v>1038</v>
      </c>
      <c r="D291" s="12" t="s">
        <v>1039</v>
      </c>
      <c r="E291" s="12" t="s">
        <v>293</v>
      </c>
      <c r="F291" s="12"/>
      <c r="G291" s="12" t="s">
        <v>1797</v>
      </c>
      <c r="H291" s="12"/>
      <c r="I291" s="12" t="s">
        <v>118</v>
      </c>
      <c r="J291" s="12" t="s">
        <v>1798</v>
      </c>
    </row>
    <row r="292" customFormat="false" ht="23.85" hidden="false" customHeight="false" outlineLevel="0" collapsed="false">
      <c r="A292" s="12" t="s">
        <v>58</v>
      </c>
      <c r="B292" s="12" t="s">
        <v>338</v>
      </c>
      <c r="C292" s="12" t="s">
        <v>880</v>
      </c>
      <c r="D292" s="12" t="s">
        <v>881</v>
      </c>
      <c r="E292" s="12" t="s">
        <v>293</v>
      </c>
      <c r="F292" s="12"/>
      <c r="G292" s="12" t="s">
        <v>1797</v>
      </c>
      <c r="H292" s="12"/>
      <c r="I292" s="12" t="s">
        <v>118</v>
      </c>
      <c r="J292" s="12" t="s">
        <v>1798</v>
      </c>
    </row>
    <row r="293" customFormat="false" ht="23.85" hidden="false" customHeight="false" outlineLevel="0" collapsed="false">
      <c r="A293" s="12" t="s">
        <v>58</v>
      </c>
      <c r="B293" s="12" t="s">
        <v>338</v>
      </c>
      <c r="C293" s="12" t="s">
        <v>882</v>
      </c>
      <c r="D293" s="12" t="s">
        <v>883</v>
      </c>
      <c r="E293" s="12" t="s">
        <v>293</v>
      </c>
      <c r="F293" s="12"/>
      <c r="G293" s="12" t="s">
        <v>1797</v>
      </c>
      <c r="H293" s="12"/>
      <c r="I293" s="12" t="s">
        <v>118</v>
      </c>
      <c r="J293" s="12" t="s">
        <v>1798</v>
      </c>
    </row>
    <row r="294" customFormat="false" ht="23.85" hidden="false" customHeight="false" outlineLevel="0" collapsed="false">
      <c r="A294" s="12" t="s">
        <v>58</v>
      </c>
      <c r="B294" s="12" t="s">
        <v>338</v>
      </c>
      <c r="C294" s="12" t="s">
        <v>884</v>
      </c>
      <c r="D294" s="12" t="s">
        <v>885</v>
      </c>
      <c r="E294" s="12" t="s">
        <v>293</v>
      </c>
      <c r="F294" s="12" t="s">
        <v>1816</v>
      </c>
      <c r="G294" s="12" t="s">
        <v>1797</v>
      </c>
      <c r="H294" s="12"/>
      <c r="I294" s="12" t="s">
        <v>118</v>
      </c>
      <c r="J294" s="12" t="s">
        <v>1798</v>
      </c>
    </row>
    <row r="295" customFormat="false" ht="23.85" hidden="false" customHeight="false" outlineLevel="0" collapsed="false">
      <c r="A295" s="12" t="s">
        <v>58</v>
      </c>
      <c r="B295" s="12" t="s">
        <v>338</v>
      </c>
      <c r="C295" s="12" t="s">
        <v>886</v>
      </c>
      <c r="D295" s="12" t="s">
        <v>887</v>
      </c>
      <c r="E295" s="12" t="s">
        <v>293</v>
      </c>
      <c r="F295" s="12" t="s">
        <v>1816</v>
      </c>
      <c r="G295" s="12" t="s">
        <v>1797</v>
      </c>
      <c r="H295" s="12"/>
      <c r="I295" s="12" t="s">
        <v>118</v>
      </c>
      <c r="J295" s="12" t="s">
        <v>1798</v>
      </c>
    </row>
    <row r="296" customFormat="false" ht="23.85" hidden="false" customHeight="false" outlineLevel="0" collapsed="false">
      <c r="A296" s="12" t="s">
        <v>58</v>
      </c>
      <c r="B296" s="12" t="s">
        <v>338</v>
      </c>
      <c r="C296" s="12" t="s">
        <v>888</v>
      </c>
      <c r="D296" s="12" t="s">
        <v>889</v>
      </c>
      <c r="E296" s="12" t="s">
        <v>293</v>
      </c>
      <c r="F296" s="12" t="s">
        <v>1816</v>
      </c>
      <c r="G296" s="12" t="s">
        <v>1797</v>
      </c>
      <c r="H296" s="12"/>
      <c r="I296" s="12" t="s">
        <v>118</v>
      </c>
      <c r="J296" s="12" t="s">
        <v>1798</v>
      </c>
    </row>
    <row r="297" customFormat="false" ht="23.85" hidden="false" customHeight="false" outlineLevel="0" collapsed="false">
      <c r="A297" s="12" t="s">
        <v>58</v>
      </c>
      <c r="B297" s="12" t="s">
        <v>338</v>
      </c>
      <c r="C297" s="12" t="s">
        <v>890</v>
      </c>
      <c r="D297" s="12" t="s">
        <v>891</v>
      </c>
      <c r="E297" s="12" t="s">
        <v>293</v>
      </c>
      <c r="F297" s="12" t="s">
        <v>1816</v>
      </c>
      <c r="G297" s="12" t="s">
        <v>1797</v>
      </c>
      <c r="H297" s="12"/>
      <c r="I297" s="12" t="s">
        <v>118</v>
      </c>
      <c r="J297" s="12" t="s">
        <v>1798</v>
      </c>
    </row>
    <row r="298" customFormat="false" ht="23.85" hidden="false" customHeight="false" outlineLevel="0" collapsed="false">
      <c r="A298" s="12" t="s">
        <v>58</v>
      </c>
      <c r="B298" s="12" t="s">
        <v>338</v>
      </c>
      <c r="C298" s="12" t="s">
        <v>892</v>
      </c>
      <c r="D298" s="12" t="s">
        <v>893</v>
      </c>
      <c r="E298" s="12" t="s">
        <v>293</v>
      </c>
      <c r="F298" s="12" t="s">
        <v>1817</v>
      </c>
      <c r="G298" s="12" t="s">
        <v>1797</v>
      </c>
      <c r="H298" s="12"/>
      <c r="I298" s="12" t="s">
        <v>118</v>
      </c>
      <c r="J298" s="12" t="s">
        <v>1798</v>
      </c>
    </row>
    <row r="299" customFormat="false" ht="23.85" hidden="false" customHeight="false" outlineLevel="0" collapsed="false">
      <c r="A299" s="12" t="s">
        <v>58</v>
      </c>
      <c r="B299" s="12" t="s">
        <v>338</v>
      </c>
      <c r="C299" s="12" t="s">
        <v>894</v>
      </c>
      <c r="D299" s="12" t="s">
        <v>895</v>
      </c>
      <c r="E299" s="12" t="s">
        <v>293</v>
      </c>
      <c r="F299" s="12" t="s">
        <v>1817</v>
      </c>
      <c r="G299" s="12" t="s">
        <v>1797</v>
      </c>
      <c r="H299" s="12"/>
      <c r="I299" s="12" t="s">
        <v>118</v>
      </c>
      <c r="J299" s="12" t="s">
        <v>1798</v>
      </c>
    </row>
    <row r="300" customFormat="false" ht="23.85" hidden="false" customHeight="false" outlineLevel="0" collapsed="false">
      <c r="A300" s="12" t="s">
        <v>58</v>
      </c>
      <c r="B300" s="12" t="s">
        <v>338</v>
      </c>
      <c r="C300" s="12" t="s">
        <v>896</v>
      </c>
      <c r="D300" s="12" t="s">
        <v>897</v>
      </c>
      <c r="E300" s="12" t="s">
        <v>293</v>
      </c>
      <c r="F300" s="12" t="s">
        <v>1817</v>
      </c>
      <c r="G300" s="12" t="s">
        <v>1797</v>
      </c>
      <c r="H300" s="12"/>
      <c r="I300" s="12" t="s">
        <v>118</v>
      </c>
      <c r="J300" s="12" t="s">
        <v>1798</v>
      </c>
    </row>
    <row r="301" customFormat="false" ht="23.85" hidden="false" customHeight="false" outlineLevel="0" collapsed="false">
      <c r="A301" s="12" t="s">
        <v>58</v>
      </c>
      <c r="B301" s="12" t="s">
        <v>338</v>
      </c>
      <c r="C301" s="12" t="s">
        <v>898</v>
      </c>
      <c r="D301" s="12" t="s">
        <v>899</v>
      </c>
      <c r="E301" s="12" t="s">
        <v>293</v>
      </c>
      <c r="F301" s="12" t="s">
        <v>1817</v>
      </c>
      <c r="G301" s="12" t="s">
        <v>1797</v>
      </c>
      <c r="H301" s="12"/>
      <c r="I301" s="12" t="s">
        <v>118</v>
      </c>
      <c r="J301" s="12" t="s">
        <v>1798</v>
      </c>
    </row>
    <row r="302" customFormat="false" ht="23.85" hidden="false" customHeight="false" outlineLevel="0" collapsed="false">
      <c r="A302" s="12" t="s">
        <v>58</v>
      </c>
      <c r="B302" s="12" t="s">
        <v>338</v>
      </c>
      <c r="C302" s="12" t="s">
        <v>900</v>
      </c>
      <c r="D302" s="12" t="s">
        <v>901</v>
      </c>
      <c r="E302" s="12" t="s">
        <v>293</v>
      </c>
      <c r="F302" s="12" t="s">
        <v>1816</v>
      </c>
      <c r="G302" s="12" t="s">
        <v>1797</v>
      </c>
      <c r="H302" s="12"/>
      <c r="I302" s="12" t="s">
        <v>118</v>
      </c>
      <c r="J302" s="12" t="s">
        <v>1798</v>
      </c>
    </row>
    <row r="303" customFormat="false" ht="23.85" hidden="false" customHeight="false" outlineLevel="0" collapsed="false">
      <c r="A303" s="12" t="s">
        <v>58</v>
      </c>
      <c r="B303" s="12" t="s">
        <v>338</v>
      </c>
      <c r="C303" s="12" t="s">
        <v>902</v>
      </c>
      <c r="D303" s="12" t="s">
        <v>903</v>
      </c>
      <c r="E303" s="12" t="s">
        <v>293</v>
      </c>
      <c r="F303" s="12" t="s">
        <v>1816</v>
      </c>
      <c r="G303" s="12" t="s">
        <v>1797</v>
      </c>
      <c r="H303" s="12"/>
      <c r="I303" s="12" t="s">
        <v>118</v>
      </c>
      <c r="J303" s="12" t="s">
        <v>1798</v>
      </c>
    </row>
    <row r="304" customFormat="false" ht="23.85" hidden="false" customHeight="false" outlineLevel="0" collapsed="false">
      <c r="A304" s="12" t="s">
        <v>58</v>
      </c>
      <c r="B304" s="12" t="s">
        <v>338</v>
      </c>
      <c r="C304" s="12" t="s">
        <v>904</v>
      </c>
      <c r="D304" s="12" t="s">
        <v>905</v>
      </c>
      <c r="E304" s="12" t="s">
        <v>293</v>
      </c>
      <c r="F304" s="12" t="s">
        <v>1816</v>
      </c>
      <c r="G304" s="12" t="s">
        <v>1797</v>
      </c>
      <c r="H304" s="12"/>
      <c r="I304" s="12" t="s">
        <v>118</v>
      </c>
      <c r="J304" s="12" t="s">
        <v>1798</v>
      </c>
    </row>
    <row r="305" customFormat="false" ht="23.85" hidden="false" customHeight="false" outlineLevel="0" collapsed="false">
      <c r="A305" s="12" t="s">
        <v>58</v>
      </c>
      <c r="B305" s="12" t="s">
        <v>338</v>
      </c>
      <c r="C305" s="12" t="s">
        <v>906</v>
      </c>
      <c r="D305" s="12" t="s">
        <v>907</v>
      </c>
      <c r="E305" s="12" t="s">
        <v>293</v>
      </c>
      <c r="F305" s="12" t="s">
        <v>1816</v>
      </c>
      <c r="G305" s="12" t="s">
        <v>1797</v>
      </c>
      <c r="H305" s="12"/>
      <c r="I305" s="12" t="s">
        <v>118</v>
      </c>
      <c r="J305" s="12" t="s">
        <v>1798</v>
      </c>
    </row>
    <row r="306" customFormat="false" ht="23.85" hidden="false" customHeight="false" outlineLevel="0" collapsed="false">
      <c r="A306" s="12" t="s">
        <v>58</v>
      </c>
      <c r="B306" s="12" t="s">
        <v>338</v>
      </c>
      <c r="C306" s="12" t="s">
        <v>908</v>
      </c>
      <c r="D306" s="12" t="s">
        <v>879</v>
      </c>
      <c r="E306" s="12" t="s">
        <v>293</v>
      </c>
      <c r="F306" s="12"/>
      <c r="G306" s="12" t="s">
        <v>1797</v>
      </c>
      <c r="H306" s="12"/>
      <c r="I306" s="12" t="s">
        <v>118</v>
      </c>
      <c r="J306" s="12" t="s">
        <v>1798</v>
      </c>
    </row>
    <row r="307" customFormat="false" ht="35.05" hidden="false" customHeight="false" outlineLevel="0" collapsed="false">
      <c r="A307" s="12" t="s">
        <v>59</v>
      </c>
      <c r="B307" s="12" t="s">
        <v>283</v>
      </c>
      <c r="C307" s="12" t="s">
        <v>1826</v>
      </c>
      <c r="D307" s="12" t="s">
        <v>1827</v>
      </c>
      <c r="E307" s="12" t="s">
        <v>1796</v>
      </c>
      <c r="F307" s="12" t="s">
        <v>1828</v>
      </c>
      <c r="G307" s="12" t="s">
        <v>1797</v>
      </c>
      <c r="H307" s="12"/>
      <c r="I307" s="12" t="s">
        <v>118</v>
      </c>
      <c r="J307" s="12" t="s">
        <v>1798</v>
      </c>
    </row>
    <row r="308" customFormat="false" ht="23.85" hidden="false" customHeight="false" outlineLevel="0" collapsed="false">
      <c r="A308" s="12" t="s">
        <v>59</v>
      </c>
      <c r="B308" s="12" t="s">
        <v>283</v>
      </c>
      <c r="C308" s="12" t="s">
        <v>1829</v>
      </c>
      <c r="D308" s="12" t="s">
        <v>1830</v>
      </c>
      <c r="E308" s="12" t="s">
        <v>293</v>
      </c>
      <c r="F308" s="12" t="s">
        <v>1828</v>
      </c>
      <c r="G308" s="12" t="s">
        <v>1797</v>
      </c>
      <c r="H308" s="12"/>
      <c r="I308" s="12" t="s">
        <v>118</v>
      </c>
      <c r="J308" s="12" t="s">
        <v>1798</v>
      </c>
    </row>
    <row r="309" customFormat="false" ht="23.85" hidden="false" customHeight="false" outlineLevel="0" collapsed="false">
      <c r="A309" s="12" t="s">
        <v>59</v>
      </c>
      <c r="B309" s="12" t="s">
        <v>283</v>
      </c>
      <c r="C309" s="12" t="s">
        <v>1831</v>
      </c>
      <c r="D309" s="12" t="s">
        <v>1832</v>
      </c>
      <c r="E309" s="12" t="s">
        <v>293</v>
      </c>
      <c r="F309" s="12" t="s">
        <v>1828</v>
      </c>
      <c r="G309" s="12" t="s">
        <v>1797</v>
      </c>
      <c r="H309" s="12"/>
      <c r="I309" s="12" t="s">
        <v>118</v>
      </c>
      <c r="J309" s="12" t="s">
        <v>1798</v>
      </c>
    </row>
    <row r="310" customFormat="false" ht="23.85" hidden="false" customHeight="false" outlineLevel="0" collapsed="false">
      <c r="A310" s="12" t="s">
        <v>59</v>
      </c>
      <c r="B310" s="12" t="s">
        <v>283</v>
      </c>
      <c r="C310" s="12" t="s">
        <v>1833</v>
      </c>
      <c r="D310" s="12" t="s">
        <v>1834</v>
      </c>
      <c r="E310" s="12" t="s">
        <v>293</v>
      </c>
      <c r="F310" s="12" t="s">
        <v>1828</v>
      </c>
      <c r="G310" s="12" t="s">
        <v>1797</v>
      </c>
      <c r="H310" s="12"/>
      <c r="I310" s="12" t="s">
        <v>118</v>
      </c>
      <c r="J310" s="12" t="s">
        <v>1798</v>
      </c>
    </row>
    <row r="311" customFormat="false" ht="35.05" hidden="false" customHeight="false" outlineLevel="0" collapsed="false">
      <c r="A311" s="12" t="s">
        <v>59</v>
      </c>
      <c r="B311" s="12" t="s">
        <v>283</v>
      </c>
      <c r="C311" s="12" t="s">
        <v>1835</v>
      </c>
      <c r="D311" s="12" t="s">
        <v>1836</v>
      </c>
      <c r="E311" s="12" t="s">
        <v>1796</v>
      </c>
      <c r="F311" s="12" t="s">
        <v>1837</v>
      </c>
      <c r="G311" s="12" t="s">
        <v>1797</v>
      </c>
      <c r="H311" s="12"/>
      <c r="I311" s="12" t="s">
        <v>118</v>
      </c>
      <c r="J311" s="12" t="s">
        <v>1798</v>
      </c>
    </row>
    <row r="312" customFormat="false" ht="23.85" hidden="false" customHeight="false" outlineLevel="0" collapsed="false">
      <c r="A312" s="12" t="s">
        <v>59</v>
      </c>
      <c r="B312" s="12" t="s">
        <v>283</v>
      </c>
      <c r="C312" s="12" t="s">
        <v>1838</v>
      </c>
      <c r="D312" s="12" t="s">
        <v>1839</v>
      </c>
      <c r="E312" s="12" t="s">
        <v>293</v>
      </c>
      <c r="F312" s="12" t="s">
        <v>1837</v>
      </c>
      <c r="G312" s="12" t="s">
        <v>1797</v>
      </c>
      <c r="H312" s="12"/>
      <c r="I312" s="12" t="s">
        <v>118</v>
      </c>
      <c r="J312" s="12" t="s">
        <v>1798</v>
      </c>
    </row>
    <row r="313" customFormat="false" ht="23.85" hidden="false" customHeight="false" outlineLevel="0" collapsed="false">
      <c r="A313" s="12" t="s">
        <v>59</v>
      </c>
      <c r="B313" s="12" t="s">
        <v>283</v>
      </c>
      <c r="C313" s="12" t="s">
        <v>1840</v>
      </c>
      <c r="D313" s="12" t="s">
        <v>1841</v>
      </c>
      <c r="E313" s="12" t="s">
        <v>293</v>
      </c>
      <c r="F313" s="12" t="s">
        <v>1837</v>
      </c>
      <c r="G313" s="12" t="s">
        <v>1797</v>
      </c>
      <c r="H313" s="12"/>
      <c r="I313" s="12" t="s">
        <v>118</v>
      </c>
      <c r="J313" s="12" t="s">
        <v>1798</v>
      </c>
    </row>
    <row r="314" customFormat="false" ht="23.85" hidden="false" customHeight="false" outlineLevel="0" collapsed="false">
      <c r="A314" s="12" t="s">
        <v>59</v>
      </c>
      <c r="B314" s="12" t="s">
        <v>283</v>
      </c>
      <c r="C314" s="12" t="s">
        <v>1842</v>
      </c>
      <c r="D314" s="12" t="s">
        <v>1843</v>
      </c>
      <c r="E314" s="12" t="s">
        <v>293</v>
      </c>
      <c r="F314" s="12" t="s">
        <v>1837</v>
      </c>
      <c r="G314" s="12" t="s">
        <v>1797</v>
      </c>
      <c r="H314" s="12"/>
      <c r="I314" s="12" t="s">
        <v>118</v>
      </c>
      <c r="J314" s="12" t="s">
        <v>1798</v>
      </c>
    </row>
    <row r="315" customFormat="false" ht="23.85" hidden="false" customHeight="false" outlineLevel="0" collapsed="false">
      <c r="A315" s="12" t="s">
        <v>59</v>
      </c>
      <c r="B315" s="12" t="s">
        <v>283</v>
      </c>
      <c r="C315" s="12" t="s">
        <v>1844</v>
      </c>
      <c r="D315" s="12" t="s">
        <v>1845</v>
      </c>
      <c r="E315" s="12" t="s">
        <v>293</v>
      </c>
      <c r="F315" s="12" t="s">
        <v>1846</v>
      </c>
      <c r="G315" s="12" t="s">
        <v>1797</v>
      </c>
      <c r="H315" s="12"/>
      <c r="I315" s="12" t="s">
        <v>118</v>
      </c>
      <c r="J315" s="12" t="s">
        <v>1798</v>
      </c>
    </row>
    <row r="316" customFormat="false" ht="23.85" hidden="false" customHeight="false" outlineLevel="0" collapsed="false">
      <c r="A316" s="12" t="s">
        <v>59</v>
      </c>
      <c r="B316" s="12" t="s">
        <v>283</v>
      </c>
      <c r="C316" s="12" t="s">
        <v>1847</v>
      </c>
      <c r="D316" s="12" t="s">
        <v>1848</v>
      </c>
      <c r="E316" s="12" t="s">
        <v>293</v>
      </c>
      <c r="F316" s="12" t="s">
        <v>1846</v>
      </c>
      <c r="G316" s="12" t="s">
        <v>1797</v>
      </c>
      <c r="H316" s="12"/>
      <c r="I316" s="12" t="s">
        <v>118</v>
      </c>
      <c r="J316" s="12" t="s">
        <v>1798</v>
      </c>
    </row>
    <row r="317" customFormat="false" ht="35.05" hidden="false" customHeight="false" outlineLevel="0" collapsed="false">
      <c r="A317" s="12" t="s">
        <v>59</v>
      </c>
      <c r="B317" s="12" t="s">
        <v>283</v>
      </c>
      <c r="C317" s="12" t="s">
        <v>1849</v>
      </c>
      <c r="D317" s="12" t="s">
        <v>1850</v>
      </c>
      <c r="E317" s="12" t="s">
        <v>1796</v>
      </c>
      <c r="F317" s="12" t="s">
        <v>1828</v>
      </c>
      <c r="G317" s="12" t="s">
        <v>1797</v>
      </c>
      <c r="H317" s="12"/>
      <c r="I317" s="12" t="s">
        <v>118</v>
      </c>
      <c r="J317" s="12" t="s">
        <v>1798</v>
      </c>
    </row>
    <row r="318" customFormat="false" ht="23.85" hidden="false" customHeight="false" outlineLevel="0" collapsed="false">
      <c r="A318" s="12" t="s">
        <v>59</v>
      </c>
      <c r="B318" s="12" t="s">
        <v>283</v>
      </c>
      <c r="C318" s="12" t="s">
        <v>1851</v>
      </c>
      <c r="D318" s="12" t="s">
        <v>1852</v>
      </c>
      <c r="E318" s="12" t="s">
        <v>293</v>
      </c>
      <c r="F318" s="12" t="s">
        <v>1828</v>
      </c>
      <c r="G318" s="12" t="s">
        <v>1797</v>
      </c>
      <c r="H318" s="12"/>
      <c r="I318" s="12" t="s">
        <v>118</v>
      </c>
      <c r="J318" s="12" t="s">
        <v>1798</v>
      </c>
    </row>
    <row r="319" customFormat="false" ht="23.85" hidden="false" customHeight="false" outlineLevel="0" collapsed="false">
      <c r="A319" s="12" t="s">
        <v>59</v>
      </c>
      <c r="B319" s="12" t="s">
        <v>283</v>
      </c>
      <c r="C319" s="12" t="s">
        <v>1853</v>
      </c>
      <c r="D319" s="12" t="s">
        <v>1854</v>
      </c>
      <c r="E319" s="12" t="s">
        <v>293</v>
      </c>
      <c r="F319" s="12" t="s">
        <v>1828</v>
      </c>
      <c r="G319" s="12" t="s">
        <v>1797</v>
      </c>
      <c r="H319" s="12"/>
      <c r="I319" s="12" t="s">
        <v>118</v>
      </c>
      <c r="J319" s="12" t="s">
        <v>1798</v>
      </c>
    </row>
    <row r="320" customFormat="false" ht="23.85" hidden="false" customHeight="false" outlineLevel="0" collapsed="false">
      <c r="A320" s="12" t="s">
        <v>59</v>
      </c>
      <c r="B320" s="12" t="s">
        <v>338</v>
      </c>
      <c r="C320" s="12" t="s">
        <v>1855</v>
      </c>
      <c r="D320" s="12" t="s">
        <v>1856</v>
      </c>
      <c r="E320" s="12" t="s">
        <v>293</v>
      </c>
      <c r="F320" s="12" t="s">
        <v>1837</v>
      </c>
      <c r="G320" s="12" t="s">
        <v>1797</v>
      </c>
      <c r="H320" s="12"/>
      <c r="I320" s="12" t="s">
        <v>118</v>
      </c>
      <c r="J320" s="12" t="s">
        <v>1798</v>
      </c>
    </row>
    <row r="321" customFormat="false" ht="23.85" hidden="false" customHeight="false" outlineLevel="0" collapsed="false">
      <c r="A321" s="12" t="s">
        <v>59</v>
      </c>
      <c r="B321" s="12" t="s">
        <v>338</v>
      </c>
      <c r="C321" s="12" t="s">
        <v>1857</v>
      </c>
      <c r="D321" s="12" t="s">
        <v>1845</v>
      </c>
      <c r="E321" s="12" t="s">
        <v>293</v>
      </c>
      <c r="F321" s="12" t="s">
        <v>1846</v>
      </c>
      <c r="G321" s="12" t="s">
        <v>1797</v>
      </c>
      <c r="H321" s="12"/>
      <c r="I321" s="12" t="s">
        <v>118</v>
      </c>
      <c r="J321" s="12" t="s">
        <v>1798</v>
      </c>
    </row>
    <row r="322" customFormat="false" ht="23.85" hidden="false" customHeight="false" outlineLevel="0" collapsed="false">
      <c r="A322" s="12" t="s">
        <v>59</v>
      </c>
      <c r="B322" s="12" t="s">
        <v>338</v>
      </c>
      <c r="C322" s="12" t="s">
        <v>1858</v>
      </c>
      <c r="D322" s="12" t="s">
        <v>1848</v>
      </c>
      <c r="E322" s="12" t="s">
        <v>293</v>
      </c>
      <c r="F322" s="12" t="s">
        <v>1846</v>
      </c>
      <c r="G322" s="12" t="s">
        <v>1797</v>
      </c>
      <c r="H322" s="12"/>
      <c r="I322" s="12" t="s">
        <v>118</v>
      </c>
      <c r="J322" s="12" t="s">
        <v>1798</v>
      </c>
    </row>
    <row r="323" customFormat="false" ht="23.85" hidden="false" customHeight="false" outlineLevel="0" collapsed="false">
      <c r="A323" s="12" t="s">
        <v>59</v>
      </c>
      <c r="B323" s="12" t="s">
        <v>338</v>
      </c>
      <c r="C323" s="12" t="s">
        <v>1859</v>
      </c>
      <c r="D323" s="12" t="s">
        <v>1827</v>
      </c>
      <c r="E323" s="12" t="s">
        <v>293</v>
      </c>
      <c r="F323" s="12" t="s">
        <v>1828</v>
      </c>
      <c r="G323" s="12" t="s">
        <v>1797</v>
      </c>
      <c r="H323" s="12"/>
      <c r="I323" s="12" t="s">
        <v>118</v>
      </c>
      <c r="J323" s="12" t="s">
        <v>1798</v>
      </c>
    </row>
    <row r="324" customFormat="false" ht="35.05" hidden="false" customHeight="false" outlineLevel="0" collapsed="false">
      <c r="A324" s="12" t="s">
        <v>60</v>
      </c>
      <c r="B324" s="12" t="s">
        <v>283</v>
      </c>
      <c r="C324" s="12" t="s">
        <v>910</v>
      </c>
      <c r="D324" s="12" t="s">
        <v>911</v>
      </c>
      <c r="E324" s="12" t="s">
        <v>1796</v>
      </c>
      <c r="F324" s="12"/>
      <c r="G324" s="12" t="s">
        <v>1797</v>
      </c>
      <c r="H324" s="12"/>
      <c r="I324" s="12" t="s">
        <v>118</v>
      </c>
      <c r="J324" s="12" t="s">
        <v>1798</v>
      </c>
    </row>
    <row r="325" customFormat="false" ht="23.85" hidden="false" customHeight="false" outlineLevel="0" collapsed="false">
      <c r="A325" s="12" t="s">
        <v>60</v>
      </c>
      <c r="B325" s="12" t="s">
        <v>283</v>
      </c>
      <c r="C325" s="12" t="s">
        <v>912</v>
      </c>
      <c r="D325" s="12" t="s">
        <v>913</v>
      </c>
      <c r="E325" s="12" t="s">
        <v>293</v>
      </c>
      <c r="F325" s="12"/>
      <c r="G325" s="12" t="s">
        <v>1797</v>
      </c>
      <c r="H325" s="12"/>
      <c r="I325" s="12" t="s">
        <v>118</v>
      </c>
      <c r="J325" s="12" t="s">
        <v>1798</v>
      </c>
    </row>
    <row r="326" customFormat="false" ht="35.05" hidden="false" customHeight="false" outlineLevel="0" collapsed="false">
      <c r="A326" s="12" t="s">
        <v>60</v>
      </c>
      <c r="B326" s="12" t="s">
        <v>283</v>
      </c>
      <c r="C326" s="12" t="s">
        <v>914</v>
      </c>
      <c r="D326" s="12" t="s">
        <v>915</v>
      </c>
      <c r="E326" s="12" t="s">
        <v>1796</v>
      </c>
      <c r="F326" s="12"/>
      <c r="G326" s="12" t="s">
        <v>1797</v>
      </c>
      <c r="H326" s="12"/>
      <c r="I326" s="12" t="s">
        <v>118</v>
      </c>
      <c r="J326" s="12" t="s">
        <v>1798</v>
      </c>
    </row>
    <row r="327" customFormat="false" ht="23.85" hidden="false" customHeight="false" outlineLevel="0" collapsed="false">
      <c r="A327" s="12" t="s">
        <v>60</v>
      </c>
      <c r="B327" s="12" t="s">
        <v>283</v>
      </c>
      <c r="C327" s="12" t="s">
        <v>916</v>
      </c>
      <c r="D327" s="12" t="s">
        <v>917</v>
      </c>
      <c r="E327" s="12" t="s">
        <v>293</v>
      </c>
      <c r="F327" s="12"/>
      <c r="G327" s="12" t="s">
        <v>1797</v>
      </c>
      <c r="H327" s="12"/>
      <c r="I327" s="12" t="s">
        <v>118</v>
      </c>
      <c r="J327" s="12" t="s">
        <v>1798</v>
      </c>
    </row>
    <row r="328" customFormat="false" ht="23.85" hidden="false" customHeight="false" outlineLevel="0" collapsed="false">
      <c r="A328" s="12" t="s">
        <v>60</v>
      </c>
      <c r="B328" s="12" t="s">
        <v>283</v>
      </c>
      <c r="C328" s="12" t="s">
        <v>918</v>
      </c>
      <c r="D328" s="12" t="s">
        <v>919</v>
      </c>
      <c r="E328" s="12" t="s">
        <v>293</v>
      </c>
      <c r="F328" s="12"/>
      <c r="G328" s="12" t="s">
        <v>1797</v>
      </c>
      <c r="H328" s="12"/>
      <c r="I328" s="12" t="s">
        <v>118</v>
      </c>
      <c r="J328" s="12" t="s">
        <v>1798</v>
      </c>
    </row>
    <row r="329" customFormat="false" ht="35.05" hidden="false" customHeight="false" outlineLevel="0" collapsed="false">
      <c r="A329" s="12" t="s">
        <v>60</v>
      </c>
      <c r="B329" s="12" t="s">
        <v>283</v>
      </c>
      <c r="C329" s="12" t="s">
        <v>920</v>
      </c>
      <c r="D329" s="12" t="s">
        <v>921</v>
      </c>
      <c r="E329" s="12" t="s">
        <v>1796</v>
      </c>
      <c r="F329" s="12"/>
      <c r="G329" s="12" t="s">
        <v>1797</v>
      </c>
      <c r="H329" s="12"/>
      <c r="I329" s="12" t="s">
        <v>118</v>
      </c>
      <c r="J329" s="12" t="s">
        <v>1798</v>
      </c>
    </row>
    <row r="330" customFormat="false" ht="23.85" hidden="false" customHeight="false" outlineLevel="0" collapsed="false">
      <c r="A330" s="12" t="s">
        <v>60</v>
      </c>
      <c r="B330" s="12" t="s">
        <v>283</v>
      </c>
      <c r="C330" s="12" t="s">
        <v>922</v>
      </c>
      <c r="D330" s="12" t="s">
        <v>923</v>
      </c>
      <c r="E330" s="12" t="s">
        <v>293</v>
      </c>
      <c r="F330" s="12"/>
      <c r="G330" s="12" t="s">
        <v>1797</v>
      </c>
      <c r="H330" s="12"/>
      <c r="I330" s="12" t="s">
        <v>118</v>
      </c>
      <c r="J330" s="12" t="s">
        <v>1798</v>
      </c>
    </row>
    <row r="331" customFormat="false" ht="23.85" hidden="false" customHeight="false" outlineLevel="0" collapsed="false">
      <c r="A331" s="12" t="s">
        <v>60</v>
      </c>
      <c r="B331" s="12" t="s">
        <v>283</v>
      </c>
      <c r="C331" s="12" t="s">
        <v>924</v>
      </c>
      <c r="D331" s="12" t="s">
        <v>925</v>
      </c>
      <c r="E331" s="12" t="s">
        <v>293</v>
      </c>
      <c r="F331" s="12"/>
      <c r="G331" s="12" t="s">
        <v>1797</v>
      </c>
      <c r="H331" s="12"/>
      <c r="I331" s="12" t="s">
        <v>118</v>
      </c>
      <c r="J331" s="12" t="s">
        <v>1798</v>
      </c>
    </row>
    <row r="332" customFormat="false" ht="23.85" hidden="false" customHeight="false" outlineLevel="0" collapsed="false">
      <c r="A332" s="12" t="s">
        <v>60</v>
      </c>
      <c r="B332" s="12" t="s">
        <v>283</v>
      </c>
      <c r="C332" s="12" t="s">
        <v>926</v>
      </c>
      <c r="D332" s="12" t="s">
        <v>927</v>
      </c>
      <c r="E332" s="12" t="s">
        <v>293</v>
      </c>
      <c r="F332" s="12" t="s">
        <v>1860</v>
      </c>
      <c r="G332" s="12" t="s">
        <v>1797</v>
      </c>
      <c r="H332" s="12"/>
      <c r="I332" s="12" t="s">
        <v>118</v>
      </c>
      <c r="J332" s="12" t="s">
        <v>1798</v>
      </c>
    </row>
    <row r="333" customFormat="false" ht="23.85" hidden="false" customHeight="false" outlineLevel="0" collapsed="false">
      <c r="A333" s="12" t="s">
        <v>60</v>
      </c>
      <c r="B333" s="12" t="s">
        <v>283</v>
      </c>
      <c r="C333" s="12" t="s">
        <v>928</v>
      </c>
      <c r="D333" s="12" t="s">
        <v>929</v>
      </c>
      <c r="E333" s="12" t="s">
        <v>293</v>
      </c>
      <c r="F333" s="12" t="s">
        <v>1860</v>
      </c>
      <c r="G333" s="12" t="s">
        <v>1797</v>
      </c>
      <c r="H333" s="12"/>
      <c r="I333" s="12" t="s">
        <v>118</v>
      </c>
      <c r="J333" s="12" t="s">
        <v>1798</v>
      </c>
    </row>
    <row r="334" customFormat="false" ht="35.05" hidden="false" customHeight="false" outlineLevel="0" collapsed="false">
      <c r="A334" s="12" t="s">
        <v>60</v>
      </c>
      <c r="B334" s="12" t="s">
        <v>283</v>
      </c>
      <c r="C334" s="12" t="s">
        <v>930</v>
      </c>
      <c r="D334" s="12" t="s">
        <v>931</v>
      </c>
      <c r="E334" s="12" t="s">
        <v>1796</v>
      </c>
      <c r="F334" s="12"/>
      <c r="G334" s="12" t="s">
        <v>1797</v>
      </c>
      <c r="H334" s="12"/>
      <c r="I334" s="12" t="s">
        <v>118</v>
      </c>
      <c r="J334" s="12" t="s">
        <v>1798</v>
      </c>
    </row>
    <row r="335" customFormat="false" ht="23.85" hidden="false" customHeight="false" outlineLevel="0" collapsed="false">
      <c r="A335" s="12" t="s">
        <v>60</v>
      </c>
      <c r="B335" s="12" t="s">
        <v>283</v>
      </c>
      <c r="C335" s="12" t="s">
        <v>932</v>
      </c>
      <c r="D335" s="12" t="s">
        <v>933</v>
      </c>
      <c r="E335" s="12" t="s">
        <v>293</v>
      </c>
      <c r="F335" s="12"/>
      <c r="G335" s="12" t="s">
        <v>1797</v>
      </c>
      <c r="H335" s="12"/>
      <c r="I335" s="12" t="s">
        <v>118</v>
      </c>
      <c r="J335" s="12" t="s">
        <v>1798</v>
      </c>
    </row>
    <row r="336" customFormat="false" ht="23.85" hidden="false" customHeight="false" outlineLevel="0" collapsed="false">
      <c r="A336" s="12" t="s">
        <v>60</v>
      </c>
      <c r="B336" s="12" t="s">
        <v>283</v>
      </c>
      <c r="C336" s="12" t="s">
        <v>934</v>
      </c>
      <c r="D336" s="12" t="s">
        <v>935</v>
      </c>
      <c r="E336" s="12" t="s">
        <v>293</v>
      </c>
      <c r="F336" s="12" t="s">
        <v>1860</v>
      </c>
      <c r="G336" s="12" t="s">
        <v>1797</v>
      </c>
      <c r="H336" s="12"/>
      <c r="I336" s="12" t="s">
        <v>118</v>
      </c>
      <c r="J336" s="12" t="s">
        <v>1798</v>
      </c>
    </row>
    <row r="337" customFormat="false" ht="23.85" hidden="false" customHeight="false" outlineLevel="0" collapsed="false">
      <c r="A337" s="12" t="s">
        <v>60</v>
      </c>
      <c r="B337" s="12" t="s">
        <v>338</v>
      </c>
      <c r="C337" s="12" t="s">
        <v>936</v>
      </c>
      <c r="D337" s="12" t="s">
        <v>937</v>
      </c>
      <c r="E337" s="12" t="s">
        <v>293</v>
      </c>
      <c r="F337" s="12"/>
      <c r="G337" s="12" t="s">
        <v>1797</v>
      </c>
      <c r="H337" s="12"/>
      <c r="I337" s="12" t="s">
        <v>118</v>
      </c>
      <c r="J337" s="12" t="s">
        <v>1798</v>
      </c>
    </row>
    <row r="338" customFormat="false" ht="23.85" hidden="false" customHeight="false" outlineLevel="0" collapsed="false">
      <c r="A338" s="12" t="s">
        <v>60</v>
      </c>
      <c r="B338" s="12" t="s">
        <v>338</v>
      </c>
      <c r="C338" s="12" t="s">
        <v>938</v>
      </c>
      <c r="D338" s="12" t="s">
        <v>939</v>
      </c>
      <c r="E338" s="12" t="s">
        <v>293</v>
      </c>
      <c r="F338" s="12" t="s">
        <v>1860</v>
      </c>
      <c r="G338" s="12" t="s">
        <v>1797</v>
      </c>
      <c r="H338" s="12"/>
      <c r="I338" s="12" t="s">
        <v>118</v>
      </c>
      <c r="J338" s="12" t="s">
        <v>1798</v>
      </c>
    </row>
  </sheetData>
  <mergeCells count="1">
    <mergeCell ref="A2:J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1"/>
    <col collapsed="false" customWidth="true" hidden="false" outlineLevel="0" max="4" min="4" style="0" width="48"/>
    <col collapsed="false" customWidth="true" hidden="false" outlineLevel="0" max="5" min="5" style="0" width="7"/>
    <col collapsed="false" customWidth="true" hidden="false" outlineLevel="0" max="6" min="6" style="0" width="26"/>
    <col collapsed="false" customWidth="true" hidden="false" outlineLevel="0" max="7" min="7" style="0" width="46"/>
    <col collapsed="false" customWidth="true" hidden="false" outlineLevel="0" max="8" min="8" style="0" width="20"/>
    <col collapsed="false" customWidth="true" hidden="false" outlineLevel="0" max="9" min="9" style="0" width="36"/>
  </cols>
  <sheetData>
    <row r="1" customFormat="false" ht="17.35" hidden="false" customHeight="false" outlineLevel="0" collapsed="false">
      <c r="A1" s="9" t="s">
        <v>1861</v>
      </c>
    </row>
    <row r="2" customFormat="false" ht="30" hidden="false" customHeight="true" outlineLevel="0" collapsed="false">
      <c r="A2" s="10" t="s">
        <v>1862</v>
      </c>
      <c r="B2" s="10"/>
      <c r="C2" s="10"/>
      <c r="D2" s="10"/>
      <c r="E2" s="10"/>
      <c r="F2" s="10"/>
      <c r="G2" s="10"/>
      <c r="H2" s="10"/>
      <c r="I2" s="10"/>
    </row>
    <row r="4" customFormat="false" ht="23.85" hidden="false" customHeight="false" outlineLevel="0" collapsed="false">
      <c r="A4" s="11" t="s">
        <v>1792</v>
      </c>
      <c r="B4" s="11" t="s">
        <v>1863</v>
      </c>
      <c r="C4" s="11" t="s">
        <v>157</v>
      </c>
      <c r="D4" s="11" t="s">
        <v>1864</v>
      </c>
      <c r="E4" s="11" t="s">
        <v>91</v>
      </c>
      <c r="F4" s="11" t="s">
        <v>1865</v>
      </c>
      <c r="G4" s="11" t="s">
        <v>1866</v>
      </c>
      <c r="H4" s="11" t="s">
        <v>161</v>
      </c>
      <c r="I4" s="11" t="s">
        <v>162</v>
      </c>
    </row>
    <row r="5" customFormat="false" ht="23.85" hidden="false" customHeight="false" outlineLevel="0" collapsed="false">
      <c r="A5" s="12" t="s">
        <v>56</v>
      </c>
      <c r="B5" s="12" t="s">
        <v>1867</v>
      </c>
      <c r="C5" s="12" t="s">
        <v>1868</v>
      </c>
      <c r="D5" s="12" t="s">
        <v>1869</v>
      </c>
      <c r="E5" s="12" t="n">
        <v>30</v>
      </c>
      <c r="F5" s="12" t="s">
        <v>1870</v>
      </c>
      <c r="G5" s="12" t="s">
        <v>1871</v>
      </c>
      <c r="H5" s="12" t="s">
        <v>127</v>
      </c>
      <c r="I5" s="12" t="s">
        <v>1872</v>
      </c>
    </row>
    <row r="6" customFormat="false" ht="23.85" hidden="false" customHeight="false" outlineLevel="0" collapsed="false">
      <c r="A6" s="12" t="s">
        <v>56</v>
      </c>
      <c r="B6" s="12" t="s">
        <v>1867</v>
      </c>
      <c r="C6" s="12" t="s">
        <v>1873</v>
      </c>
      <c r="D6" s="12" t="s">
        <v>1874</v>
      </c>
      <c r="E6" s="12" t="n">
        <v>4</v>
      </c>
      <c r="F6" s="12" t="s">
        <v>1875</v>
      </c>
      <c r="G6" s="12" t="s">
        <v>1871</v>
      </c>
      <c r="H6" s="12" t="s">
        <v>127</v>
      </c>
      <c r="I6" s="12" t="s">
        <v>1872</v>
      </c>
    </row>
    <row r="7" customFormat="false" ht="23.85" hidden="false" customHeight="false" outlineLevel="0" collapsed="false">
      <c r="A7" s="12" t="s">
        <v>56</v>
      </c>
      <c r="B7" s="12" t="s">
        <v>1876</v>
      </c>
      <c r="C7" s="12" t="s">
        <v>1868</v>
      </c>
      <c r="D7" s="12" t="s">
        <v>1877</v>
      </c>
      <c r="E7" s="12" t="n">
        <v>10</v>
      </c>
      <c r="F7" s="12" t="s">
        <v>1878</v>
      </c>
      <c r="G7" s="12" t="s">
        <v>1879</v>
      </c>
      <c r="H7" s="12" t="s">
        <v>127</v>
      </c>
      <c r="I7" s="12" t="s">
        <v>1872</v>
      </c>
    </row>
    <row r="8" customFormat="false" ht="23.85" hidden="false" customHeight="false" outlineLevel="0" collapsed="false">
      <c r="A8" s="12" t="s">
        <v>56</v>
      </c>
      <c r="B8" s="12" t="s">
        <v>1876</v>
      </c>
      <c r="C8" s="12" t="s">
        <v>1873</v>
      </c>
      <c r="D8" s="12" t="s">
        <v>1880</v>
      </c>
      <c r="E8" s="12" t="n">
        <v>2</v>
      </c>
      <c r="F8" s="12" t="s">
        <v>1881</v>
      </c>
      <c r="G8" s="12" t="s">
        <v>1879</v>
      </c>
      <c r="H8" s="12" t="s">
        <v>127</v>
      </c>
      <c r="I8" s="12" t="s">
        <v>1872</v>
      </c>
    </row>
    <row r="9" customFormat="false" ht="23.85" hidden="false" customHeight="false" outlineLevel="0" collapsed="false">
      <c r="A9" s="12" t="s">
        <v>57</v>
      </c>
      <c r="B9" s="12" t="s">
        <v>1882</v>
      </c>
      <c r="C9" s="12" t="s">
        <v>1868</v>
      </c>
      <c r="D9" s="12" t="s">
        <v>1883</v>
      </c>
      <c r="E9" s="12" t="n">
        <v>4</v>
      </c>
      <c r="F9" s="12" t="s">
        <v>1883</v>
      </c>
      <c r="G9" s="12" t="s">
        <v>1884</v>
      </c>
      <c r="H9" s="12" t="s">
        <v>127</v>
      </c>
      <c r="I9" s="12" t="s">
        <v>1872</v>
      </c>
    </row>
    <row r="10" customFormat="false" ht="23.85" hidden="false" customHeight="false" outlineLevel="0" collapsed="false">
      <c r="A10" s="12" t="s">
        <v>57</v>
      </c>
      <c r="B10" s="12" t="s">
        <v>1882</v>
      </c>
      <c r="C10" s="12" t="s">
        <v>1873</v>
      </c>
      <c r="D10" s="12" t="s">
        <v>1885</v>
      </c>
      <c r="E10" s="12" t="n">
        <v>1</v>
      </c>
      <c r="F10" s="12" t="s">
        <v>1886</v>
      </c>
      <c r="G10" s="12" t="s">
        <v>1884</v>
      </c>
      <c r="H10" s="12" t="s">
        <v>127</v>
      </c>
      <c r="I10" s="12" t="s">
        <v>1872</v>
      </c>
    </row>
    <row r="11" customFormat="false" ht="23.85" hidden="false" customHeight="false" outlineLevel="0" collapsed="false">
      <c r="A11" s="12" t="s">
        <v>57</v>
      </c>
      <c r="B11" s="12" t="s">
        <v>1887</v>
      </c>
      <c r="C11" s="12" t="s">
        <v>1868</v>
      </c>
      <c r="D11" s="12" t="s">
        <v>1888</v>
      </c>
      <c r="E11" s="12" t="n">
        <v>6</v>
      </c>
      <c r="F11" s="12" t="s">
        <v>1889</v>
      </c>
      <c r="G11" s="12" t="s">
        <v>1884</v>
      </c>
      <c r="H11" s="12" t="s">
        <v>127</v>
      </c>
      <c r="I11" s="12" t="s">
        <v>1872</v>
      </c>
    </row>
    <row r="12" customFormat="false" ht="23.85" hidden="false" customHeight="false" outlineLevel="0" collapsed="false">
      <c r="A12" s="12" t="s">
        <v>57</v>
      </c>
      <c r="B12" s="12" t="s">
        <v>1887</v>
      </c>
      <c r="C12" s="12" t="s">
        <v>1873</v>
      </c>
      <c r="D12" s="12" t="s">
        <v>1890</v>
      </c>
      <c r="E12" s="12" t="n">
        <v>1</v>
      </c>
      <c r="F12" s="12" t="s">
        <v>1891</v>
      </c>
      <c r="G12" s="12" t="s">
        <v>1884</v>
      </c>
      <c r="H12" s="12" t="s">
        <v>127</v>
      </c>
      <c r="I12" s="12" t="s">
        <v>1872</v>
      </c>
    </row>
    <row r="13" customFormat="false" ht="23.85" hidden="false" customHeight="false" outlineLevel="0" collapsed="false">
      <c r="A13" s="12" t="s">
        <v>58</v>
      </c>
      <c r="B13" s="12" t="s">
        <v>1892</v>
      </c>
      <c r="C13" s="12" t="s">
        <v>1868</v>
      </c>
      <c r="D13" s="12" t="s">
        <v>1893</v>
      </c>
      <c r="E13" s="12" t="n">
        <v>15</v>
      </c>
      <c r="F13" s="12" t="s">
        <v>1894</v>
      </c>
      <c r="G13" s="12" t="s">
        <v>1895</v>
      </c>
      <c r="H13" s="12" t="s">
        <v>127</v>
      </c>
      <c r="I13" s="12" t="s">
        <v>1896</v>
      </c>
    </row>
    <row r="14" customFormat="false" ht="23.85" hidden="false" customHeight="false" outlineLevel="0" collapsed="false">
      <c r="A14" s="12" t="s">
        <v>58</v>
      </c>
      <c r="B14" s="12" t="s">
        <v>1892</v>
      </c>
      <c r="C14" s="12" t="s">
        <v>1873</v>
      </c>
      <c r="D14" s="12" t="s">
        <v>1897</v>
      </c>
      <c r="E14" s="12" t="n">
        <v>1</v>
      </c>
      <c r="F14" s="12" t="s">
        <v>1898</v>
      </c>
      <c r="G14" s="12" t="s">
        <v>1895</v>
      </c>
      <c r="H14" s="12" t="s">
        <v>127</v>
      </c>
      <c r="I14" s="12" t="s">
        <v>1896</v>
      </c>
    </row>
    <row r="15" customFormat="false" ht="23.85" hidden="false" customHeight="false" outlineLevel="0" collapsed="false">
      <c r="A15" s="12" t="s">
        <v>57</v>
      </c>
      <c r="B15" s="12" t="s">
        <v>1899</v>
      </c>
      <c r="C15" s="12" t="s">
        <v>1868</v>
      </c>
      <c r="D15" s="12" t="s">
        <v>1900</v>
      </c>
      <c r="E15" s="12" t="n">
        <v>1</v>
      </c>
      <c r="F15" s="12" t="s">
        <v>1900</v>
      </c>
      <c r="G15" s="12" t="s">
        <v>1901</v>
      </c>
      <c r="H15" s="12" t="s">
        <v>127</v>
      </c>
      <c r="I15" s="12" t="s">
        <v>1872</v>
      </c>
    </row>
    <row r="16" customFormat="false" ht="23.85" hidden="false" customHeight="false" outlineLevel="0" collapsed="false">
      <c r="A16" s="12" t="s">
        <v>57</v>
      </c>
      <c r="B16" s="12" t="s">
        <v>1899</v>
      </c>
      <c r="C16" s="12" t="s">
        <v>1873</v>
      </c>
      <c r="D16" s="12" t="s">
        <v>1902</v>
      </c>
      <c r="E16" s="12" t="n">
        <v>1</v>
      </c>
      <c r="F16" s="12" t="s">
        <v>1902</v>
      </c>
      <c r="G16" s="12" t="s">
        <v>1901</v>
      </c>
      <c r="H16" s="12" t="s">
        <v>127</v>
      </c>
      <c r="I16" s="12" t="s">
        <v>1872</v>
      </c>
    </row>
    <row r="17" customFormat="false" ht="23.85" hidden="false" customHeight="false" outlineLevel="0" collapsed="false">
      <c r="A17" s="12" t="s">
        <v>57</v>
      </c>
      <c r="B17" s="12" t="s">
        <v>1903</v>
      </c>
      <c r="C17" s="12" t="s">
        <v>1868</v>
      </c>
      <c r="D17" s="12" t="s">
        <v>1904</v>
      </c>
      <c r="E17" s="12" t="n">
        <v>1</v>
      </c>
      <c r="F17" s="12" t="s">
        <v>1904</v>
      </c>
      <c r="G17" s="12" t="s">
        <v>1901</v>
      </c>
      <c r="H17" s="12" t="s">
        <v>127</v>
      </c>
      <c r="I17" s="12" t="s">
        <v>1872</v>
      </c>
    </row>
    <row r="18" customFormat="false" ht="35.05" hidden="false" customHeight="false" outlineLevel="0" collapsed="false">
      <c r="A18" s="12" t="s">
        <v>57</v>
      </c>
      <c r="B18" s="12" t="s">
        <v>1903</v>
      </c>
      <c r="C18" s="12" t="s">
        <v>1873</v>
      </c>
      <c r="D18" s="12" t="s">
        <v>1905</v>
      </c>
      <c r="E18" s="12" t="n">
        <v>14</v>
      </c>
      <c r="F18" s="12" t="s">
        <v>1906</v>
      </c>
      <c r="G18" s="12" t="s">
        <v>1901</v>
      </c>
      <c r="H18" s="12" t="s">
        <v>127</v>
      </c>
      <c r="I18" s="12" t="s">
        <v>1872</v>
      </c>
    </row>
    <row r="19" customFormat="false" ht="23.85" hidden="false" customHeight="false" outlineLevel="0" collapsed="false">
      <c r="A19" s="12" t="s">
        <v>59</v>
      </c>
      <c r="B19" s="12" t="s">
        <v>1907</v>
      </c>
      <c r="C19" s="12" t="s">
        <v>1868</v>
      </c>
      <c r="D19" s="12" t="s">
        <v>1908</v>
      </c>
      <c r="E19" s="12" t="n">
        <v>1</v>
      </c>
      <c r="F19" s="12" t="s">
        <v>1908</v>
      </c>
      <c r="G19" s="12" t="s">
        <v>1909</v>
      </c>
      <c r="H19" s="12" t="s">
        <v>127</v>
      </c>
      <c r="I19" s="12" t="s">
        <v>1910</v>
      </c>
    </row>
    <row r="20" customFormat="false" ht="23.85" hidden="false" customHeight="false" outlineLevel="0" collapsed="false">
      <c r="A20" s="12" t="s">
        <v>59</v>
      </c>
      <c r="B20" s="12" t="s">
        <v>1907</v>
      </c>
      <c r="C20" s="12" t="s">
        <v>1873</v>
      </c>
      <c r="D20" s="12" t="s">
        <v>1911</v>
      </c>
      <c r="E20" s="12" t="n">
        <v>1</v>
      </c>
      <c r="F20" s="12" t="s">
        <v>1911</v>
      </c>
      <c r="G20" s="12" t="s">
        <v>1909</v>
      </c>
      <c r="H20" s="12" t="s">
        <v>127</v>
      </c>
      <c r="I20" s="12" t="s">
        <v>1910</v>
      </c>
    </row>
    <row r="21" customFormat="false" ht="23.85" hidden="false" customHeight="false" outlineLevel="0" collapsed="false">
      <c r="A21" s="12" t="s">
        <v>59</v>
      </c>
      <c r="B21" s="12" t="s">
        <v>1912</v>
      </c>
      <c r="C21" s="12" t="s">
        <v>1873</v>
      </c>
      <c r="D21" s="12" t="s">
        <v>1913</v>
      </c>
      <c r="E21" s="12" t="n">
        <v>1</v>
      </c>
      <c r="F21" s="12" t="s">
        <v>1913</v>
      </c>
      <c r="G21" s="12" t="s">
        <v>1914</v>
      </c>
      <c r="H21" s="12" t="s">
        <v>127</v>
      </c>
      <c r="I21" s="12" t="s">
        <v>1910</v>
      </c>
    </row>
    <row r="22" customFormat="false" ht="23.85" hidden="false" customHeight="false" outlineLevel="0" collapsed="false">
      <c r="A22" s="12" t="s">
        <v>60</v>
      </c>
      <c r="B22" s="12" t="s">
        <v>1915</v>
      </c>
      <c r="C22" s="12" t="s">
        <v>1868</v>
      </c>
      <c r="D22" s="12" t="s">
        <v>1916</v>
      </c>
      <c r="E22" s="12" t="n">
        <v>2</v>
      </c>
      <c r="F22" s="12" t="s">
        <v>1917</v>
      </c>
      <c r="G22" s="12" t="s">
        <v>1918</v>
      </c>
      <c r="H22" s="12" t="s">
        <v>127</v>
      </c>
      <c r="I22" s="12" t="s">
        <v>1919</v>
      </c>
    </row>
    <row r="23" customFormat="false" ht="23.85" hidden="false" customHeight="false" outlineLevel="0" collapsed="false">
      <c r="A23" s="12" t="s">
        <v>59</v>
      </c>
      <c r="B23" s="12" t="s">
        <v>1920</v>
      </c>
      <c r="C23" s="12" t="s">
        <v>1868</v>
      </c>
      <c r="D23" s="12" t="s">
        <v>1921</v>
      </c>
      <c r="E23" s="12" t="n">
        <v>5</v>
      </c>
      <c r="F23" s="12" t="s">
        <v>1922</v>
      </c>
      <c r="G23" s="12" t="s">
        <v>1923</v>
      </c>
      <c r="H23" s="12" t="s">
        <v>127</v>
      </c>
      <c r="I23" s="12" t="s">
        <v>1910</v>
      </c>
    </row>
    <row r="24" customFormat="false" ht="23.85" hidden="false" customHeight="false" outlineLevel="0" collapsed="false">
      <c r="A24" s="12" t="s">
        <v>59</v>
      </c>
      <c r="B24" s="12" t="s">
        <v>1920</v>
      </c>
      <c r="C24" s="12" t="s">
        <v>1873</v>
      </c>
      <c r="D24" s="12" t="s">
        <v>1924</v>
      </c>
      <c r="E24" s="12" t="n">
        <v>4</v>
      </c>
      <c r="F24" s="12" t="s">
        <v>1925</v>
      </c>
      <c r="G24" s="12" t="s">
        <v>1923</v>
      </c>
      <c r="H24" s="12" t="s">
        <v>127</v>
      </c>
      <c r="I24" s="12" t="s">
        <v>1910</v>
      </c>
    </row>
    <row r="25" customFormat="false" ht="23.85" hidden="false" customHeight="false" outlineLevel="0" collapsed="false">
      <c r="A25" s="12" t="s">
        <v>60</v>
      </c>
      <c r="B25" s="12" t="s">
        <v>1926</v>
      </c>
      <c r="C25" s="12" t="s">
        <v>1868</v>
      </c>
      <c r="D25" s="12" t="s">
        <v>1927</v>
      </c>
      <c r="E25" s="12" t="n">
        <v>53</v>
      </c>
      <c r="F25" s="12" t="s">
        <v>1928</v>
      </c>
      <c r="G25" s="12" t="s">
        <v>1929</v>
      </c>
      <c r="H25" s="12" t="s">
        <v>127</v>
      </c>
      <c r="I25" s="12" t="s">
        <v>1930</v>
      </c>
    </row>
    <row r="26" customFormat="false" ht="23.85" hidden="false" customHeight="false" outlineLevel="0" collapsed="false">
      <c r="A26" s="12" t="s">
        <v>60</v>
      </c>
      <c r="B26" s="12" t="s">
        <v>1926</v>
      </c>
      <c r="C26" s="12" t="s">
        <v>1873</v>
      </c>
      <c r="D26" s="12" t="s">
        <v>1931</v>
      </c>
      <c r="E26" s="12" t="n">
        <v>8</v>
      </c>
      <c r="F26" s="12" t="s">
        <v>1932</v>
      </c>
      <c r="G26" s="12" t="s">
        <v>1929</v>
      </c>
      <c r="H26" s="12" t="s">
        <v>127</v>
      </c>
      <c r="I26" s="12" t="s">
        <v>1930</v>
      </c>
    </row>
  </sheetData>
  <mergeCells count="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4" min="3" style="0" width="10"/>
    <col collapsed="false" customWidth="true" hidden="false" outlineLevel="0" max="5" min="5" style="0" width="52"/>
    <col collapsed="false" customWidth="true" hidden="false" outlineLevel="0" max="6" min="6" style="0" width="50"/>
    <col collapsed="false" customWidth="true" hidden="false" outlineLevel="0" max="7" min="7" style="0" width="30"/>
    <col collapsed="false" customWidth="true" hidden="false" outlineLevel="0" max="8" min="8" style="0" width="34"/>
  </cols>
  <sheetData>
    <row r="1" customFormat="false" ht="17.35" hidden="false" customHeight="false" outlineLevel="0" collapsed="false">
      <c r="A1" s="9" t="s">
        <v>1933</v>
      </c>
    </row>
    <row r="2" customFormat="false" ht="30" hidden="false" customHeight="true" outlineLevel="0" collapsed="false">
      <c r="A2" s="10" t="s">
        <v>1934</v>
      </c>
      <c r="B2" s="10"/>
      <c r="C2" s="10"/>
      <c r="D2" s="10"/>
      <c r="E2" s="10"/>
      <c r="F2" s="10"/>
      <c r="G2" s="10"/>
      <c r="H2" s="10"/>
    </row>
    <row r="4" customFormat="false" ht="23.85" hidden="false" customHeight="false" outlineLevel="0" collapsed="false">
      <c r="A4" s="11" t="s">
        <v>103</v>
      </c>
      <c r="B4" s="11" t="s">
        <v>156</v>
      </c>
      <c r="C4" s="11" t="s">
        <v>157</v>
      </c>
      <c r="D4" s="11" t="s">
        <v>1935</v>
      </c>
      <c r="E4" s="11" t="s">
        <v>1936</v>
      </c>
      <c r="F4" s="11" t="s">
        <v>1937</v>
      </c>
      <c r="G4" s="11" t="s">
        <v>162</v>
      </c>
      <c r="H4" s="11" t="s">
        <v>50</v>
      </c>
    </row>
    <row r="5" customFormat="false" ht="23.85" hidden="false" customHeight="false" outlineLevel="0" collapsed="false">
      <c r="A5" s="12" t="s">
        <v>109</v>
      </c>
      <c r="B5" s="12" t="s">
        <v>1938</v>
      </c>
      <c r="C5" s="12" t="s">
        <v>1939</v>
      </c>
      <c r="D5" s="12" t="s">
        <v>1940</v>
      </c>
      <c r="E5" s="12" t="s">
        <v>1941</v>
      </c>
      <c r="F5" s="12" t="s">
        <v>1942</v>
      </c>
      <c r="G5" s="12" t="s">
        <v>1943</v>
      </c>
      <c r="H5" s="12" t="s">
        <v>1944</v>
      </c>
    </row>
    <row r="6" customFormat="false" ht="23.85" hidden="false" customHeight="false" outlineLevel="0" collapsed="false">
      <c r="A6" s="12" t="s">
        <v>109</v>
      </c>
      <c r="B6" s="12" t="s">
        <v>1938</v>
      </c>
      <c r="C6" s="12" t="s">
        <v>1939</v>
      </c>
      <c r="D6" s="12" t="s">
        <v>1945</v>
      </c>
      <c r="E6" s="12" t="s">
        <v>1946</v>
      </c>
      <c r="F6" s="12" t="s">
        <v>1942</v>
      </c>
      <c r="G6" s="12" t="s">
        <v>1943</v>
      </c>
      <c r="H6" s="12" t="s">
        <v>1944</v>
      </c>
    </row>
    <row r="7" customFormat="false" ht="23.85" hidden="false" customHeight="false" outlineLevel="0" collapsed="false">
      <c r="A7" s="12" t="s">
        <v>109</v>
      </c>
      <c r="B7" s="12" t="s">
        <v>1938</v>
      </c>
      <c r="C7" s="12" t="s">
        <v>1939</v>
      </c>
      <c r="D7" s="12" t="s">
        <v>1947</v>
      </c>
      <c r="E7" s="12" t="s">
        <v>1948</v>
      </c>
      <c r="F7" s="12" t="s">
        <v>1942</v>
      </c>
      <c r="G7" s="12" t="s">
        <v>1943</v>
      </c>
      <c r="H7" s="12" t="s">
        <v>1944</v>
      </c>
    </row>
    <row r="8" customFormat="false" ht="23.85" hidden="false" customHeight="false" outlineLevel="0" collapsed="false">
      <c r="A8" s="12" t="s">
        <v>109</v>
      </c>
      <c r="B8" s="12" t="s">
        <v>1949</v>
      </c>
      <c r="C8" s="12" t="s">
        <v>1939</v>
      </c>
      <c r="D8" s="12" t="s">
        <v>1950</v>
      </c>
      <c r="E8" s="12" t="s">
        <v>1951</v>
      </c>
      <c r="F8" s="12" t="s">
        <v>1942</v>
      </c>
      <c r="G8" s="12" t="s">
        <v>1943</v>
      </c>
      <c r="H8" s="12" t="s">
        <v>1944</v>
      </c>
    </row>
    <row r="9" customFormat="false" ht="23.85" hidden="false" customHeight="false" outlineLevel="0" collapsed="false">
      <c r="A9" s="12" t="s">
        <v>109</v>
      </c>
      <c r="B9" s="12" t="s">
        <v>1952</v>
      </c>
      <c r="C9" s="12" t="s">
        <v>1939</v>
      </c>
      <c r="D9" s="12" t="s">
        <v>1953</v>
      </c>
      <c r="E9" s="12" t="s">
        <v>1954</v>
      </c>
      <c r="F9" s="12" t="s">
        <v>1942</v>
      </c>
      <c r="G9" s="12" t="s">
        <v>1943</v>
      </c>
      <c r="H9" s="12" t="s">
        <v>1944</v>
      </c>
    </row>
    <row r="10" customFormat="false" ht="23.85" hidden="false" customHeight="false" outlineLevel="0" collapsed="false">
      <c r="A10" s="12" t="s">
        <v>109</v>
      </c>
      <c r="B10" s="12" t="s">
        <v>1955</v>
      </c>
      <c r="C10" s="12" t="s">
        <v>1939</v>
      </c>
      <c r="D10" s="12" t="s">
        <v>1956</v>
      </c>
      <c r="E10" s="12" t="s">
        <v>1957</v>
      </c>
      <c r="F10" s="12" t="s">
        <v>1942</v>
      </c>
      <c r="G10" s="12" t="s">
        <v>1943</v>
      </c>
      <c r="H10" s="12" t="s">
        <v>1944</v>
      </c>
    </row>
    <row r="11" customFormat="false" ht="23.85" hidden="false" customHeight="false" outlineLevel="0" collapsed="false">
      <c r="A11" s="12" t="s">
        <v>109</v>
      </c>
      <c r="B11" s="12" t="s">
        <v>1958</v>
      </c>
      <c r="C11" s="12" t="s">
        <v>1939</v>
      </c>
      <c r="D11" s="12" t="s">
        <v>1959</v>
      </c>
      <c r="E11" s="12" t="s">
        <v>1960</v>
      </c>
      <c r="F11" s="12" t="s">
        <v>1942</v>
      </c>
      <c r="G11" s="12" t="s">
        <v>1943</v>
      </c>
      <c r="H11" s="12" t="s">
        <v>1944</v>
      </c>
    </row>
    <row r="12" customFormat="false" ht="23.85" hidden="false" customHeight="false" outlineLevel="0" collapsed="false">
      <c r="A12" s="12" t="s">
        <v>109</v>
      </c>
      <c r="B12" s="12" t="s">
        <v>1958</v>
      </c>
      <c r="C12" s="12" t="s">
        <v>1939</v>
      </c>
      <c r="D12" s="12" t="s">
        <v>1961</v>
      </c>
      <c r="E12" s="12" t="s">
        <v>1962</v>
      </c>
      <c r="F12" s="12" t="s">
        <v>1942</v>
      </c>
      <c r="G12" s="12" t="s">
        <v>1943</v>
      </c>
      <c r="H12" s="12" t="s">
        <v>1944</v>
      </c>
    </row>
    <row r="13" customFormat="false" ht="23.85" hidden="false" customHeight="false" outlineLevel="0" collapsed="false">
      <c r="A13" s="12" t="s">
        <v>109</v>
      </c>
      <c r="B13" s="12" t="s">
        <v>1958</v>
      </c>
      <c r="C13" s="12" t="s">
        <v>1939</v>
      </c>
      <c r="D13" s="12" t="s">
        <v>1963</v>
      </c>
      <c r="E13" s="12" t="s">
        <v>1964</v>
      </c>
      <c r="F13" s="12" t="s">
        <v>1942</v>
      </c>
      <c r="G13" s="12" t="s">
        <v>1943</v>
      </c>
      <c r="H13" s="12" t="s">
        <v>1944</v>
      </c>
    </row>
    <row r="14" customFormat="false" ht="23.85" hidden="false" customHeight="false" outlineLevel="0" collapsed="false">
      <c r="A14" s="12" t="s">
        <v>109</v>
      </c>
      <c r="B14" s="12" t="s">
        <v>1965</v>
      </c>
      <c r="C14" s="12" t="s">
        <v>1939</v>
      </c>
      <c r="D14" s="12" t="s">
        <v>1966</v>
      </c>
      <c r="E14" s="12" t="s">
        <v>1967</v>
      </c>
      <c r="F14" s="12" t="s">
        <v>1942</v>
      </c>
      <c r="G14" s="12" t="s">
        <v>1943</v>
      </c>
      <c r="H14" s="12" t="s">
        <v>1944</v>
      </c>
    </row>
    <row r="15" customFormat="false" ht="23.85" hidden="false" customHeight="false" outlineLevel="0" collapsed="false">
      <c r="A15" s="12" t="s">
        <v>109</v>
      </c>
      <c r="B15" s="12" t="s">
        <v>1965</v>
      </c>
      <c r="C15" s="12" t="s">
        <v>1939</v>
      </c>
      <c r="D15" s="12" t="s">
        <v>1968</v>
      </c>
      <c r="E15" s="12" t="s">
        <v>1969</v>
      </c>
      <c r="F15" s="12" t="s">
        <v>1942</v>
      </c>
      <c r="G15" s="12" t="s">
        <v>1943</v>
      </c>
      <c r="H15" s="12" t="s">
        <v>1944</v>
      </c>
    </row>
    <row r="16" customFormat="false" ht="23.85" hidden="false" customHeight="false" outlineLevel="0" collapsed="false">
      <c r="A16" s="12" t="s">
        <v>109</v>
      </c>
      <c r="B16" s="12" t="s">
        <v>1965</v>
      </c>
      <c r="C16" s="12" t="s">
        <v>1939</v>
      </c>
      <c r="D16" s="12" t="s">
        <v>1956</v>
      </c>
      <c r="E16" s="12" t="s">
        <v>1957</v>
      </c>
      <c r="F16" s="12" t="s">
        <v>1942</v>
      </c>
      <c r="G16" s="12" t="s">
        <v>1943</v>
      </c>
      <c r="H16" s="12" t="s">
        <v>1944</v>
      </c>
    </row>
    <row r="17" customFormat="false" ht="23.85" hidden="false" customHeight="false" outlineLevel="0" collapsed="false">
      <c r="A17" s="12" t="s">
        <v>109</v>
      </c>
      <c r="B17" s="12" t="s">
        <v>1965</v>
      </c>
      <c r="C17" s="12" t="s">
        <v>1939</v>
      </c>
      <c r="D17" s="12" t="s">
        <v>1970</v>
      </c>
      <c r="E17" s="12" t="s">
        <v>1971</v>
      </c>
      <c r="F17" s="12" t="s">
        <v>1942</v>
      </c>
      <c r="G17" s="12" t="s">
        <v>1943</v>
      </c>
      <c r="H17" s="12" t="s">
        <v>1944</v>
      </c>
    </row>
    <row r="18" customFormat="false" ht="23.85" hidden="false" customHeight="false" outlineLevel="0" collapsed="false">
      <c r="A18" s="12" t="s">
        <v>109</v>
      </c>
      <c r="B18" s="12" t="s">
        <v>1965</v>
      </c>
      <c r="C18" s="12" t="s">
        <v>1939</v>
      </c>
      <c r="D18" s="12" t="s">
        <v>1953</v>
      </c>
      <c r="E18" s="12" t="s">
        <v>1954</v>
      </c>
      <c r="F18" s="12" t="s">
        <v>1942</v>
      </c>
      <c r="G18" s="12" t="s">
        <v>1943</v>
      </c>
      <c r="H18" s="12" t="s">
        <v>1944</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24"/>
    <col collapsed="false" customWidth="true" hidden="false" outlineLevel="0" max="4" min="4" style="0" width="36"/>
    <col collapsed="false" customWidth="true" hidden="false" outlineLevel="0" max="5" min="5" style="0" width="34"/>
    <col collapsed="false" customWidth="true" hidden="false" outlineLevel="0" max="6" min="6" style="0" width="40"/>
    <col collapsed="false" customWidth="true" hidden="false" outlineLevel="0" max="7" min="7" style="0" width="50"/>
    <col collapsed="false" customWidth="true" hidden="false" outlineLevel="0" max="8" min="8" style="0" width="34"/>
  </cols>
  <sheetData>
    <row r="1" customFormat="false" ht="17.35" hidden="false" customHeight="false" outlineLevel="0" collapsed="false">
      <c r="A1" s="9" t="s">
        <v>1972</v>
      </c>
    </row>
    <row r="2" customFormat="false" ht="30" hidden="false" customHeight="true" outlineLevel="0" collapsed="false">
      <c r="A2" s="10" t="s">
        <v>1973</v>
      </c>
      <c r="B2" s="10"/>
      <c r="C2" s="10"/>
      <c r="D2" s="10"/>
      <c r="E2" s="10"/>
      <c r="F2" s="10"/>
      <c r="G2" s="10"/>
      <c r="H2" s="10"/>
    </row>
    <row r="4" customFormat="false" ht="15" hidden="false" customHeight="false" outlineLevel="0" collapsed="false">
      <c r="A4" s="11" t="s">
        <v>103</v>
      </c>
      <c r="B4" s="11" t="s">
        <v>156</v>
      </c>
      <c r="C4" s="11" t="s">
        <v>1</v>
      </c>
      <c r="D4" s="11" t="s">
        <v>1974</v>
      </c>
      <c r="E4" s="11" t="s">
        <v>1975</v>
      </c>
      <c r="F4" s="11" t="s">
        <v>162</v>
      </c>
      <c r="G4" s="11" t="s">
        <v>1976</v>
      </c>
      <c r="H4" s="11" t="s">
        <v>1977</v>
      </c>
    </row>
    <row r="5" customFormat="false" ht="35.05" hidden="false" customHeight="false" outlineLevel="0" collapsed="false">
      <c r="A5" s="12" t="s">
        <v>109</v>
      </c>
      <c r="B5" s="12" t="s">
        <v>1978</v>
      </c>
      <c r="C5" s="12" t="s">
        <v>164</v>
      </c>
      <c r="D5" s="12" t="s">
        <v>1979</v>
      </c>
      <c r="E5" s="12" t="s">
        <v>136</v>
      </c>
      <c r="F5" s="12" t="s">
        <v>1980</v>
      </c>
      <c r="G5" s="12" t="s">
        <v>1981</v>
      </c>
      <c r="H5" s="12" t="s">
        <v>1982</v>
      </c>
    </row>
    <row r="6" customFormat="false" ht="23.85" hidden="false" customHeight="false" outlineLevel="0" collapsed="false">
      <c r="A6" s="12" t="s">
        <v>109</v>
      </c>
      <c r="B6" s="12" t="s">
        <v>1983</v>
      </c>
      <c r="C6" s="12" t="s">
        <v>164</v>
      </c>
      <c r="D6" s="12" t="s">
        <v>1984</v>
      </c>
      <c r="E6" s="12" t="s">
        <v>1985</v>
      </c>
      <c r="F6" s="12" t="s">
        <v>1980</v>
      </c>
      <c r="G6" s="12" t="s">
        <v>1986</v>
      </c>
      <c r="H6" s="12" t="s">
        <v>1987</v>
      </c>
    </row>
    <row r="7" customFormat="false" ht="57.45" hidden="false" customHeight="false" outlineLevel="0" collapsed="false">
      <c r="A7" s="12" t="s">
        <v>1988</v>
      </c>
      <c r="B7" s="12" t="s">
        <v>86</v>
      </c>
      <c r="C7" s="12" t="s">
        <v>89</v>
      </c>
      <c r="D7" s="12" t="s">
        <v>1989</v>
      </c>
      <c r="E7" s="12" t="s">
        <v>136</v>
      </c>
      <c r="F7" s="12" t="s">
        <v>1990</v>
      </c>
      <c r="G7" s="12" t="s">
        <v>1991</v>
      </c>
      <c r="H7" s="12" t="s">
        <v>1992</v>
      </c>
    </row>
    <row r="8" customFormat="false" ht="23.85" hidden="false" customHeight="false" outlineLevel="0" collapsed="false">
      <c r="A8" s="12" t="s">
        <v>58</v>
      </c>
      <c r="B8" s="12" t="s">
        <v>1993</v>
      </c>
      <c r="C8" s="12" t="s">
        <v>1994</v>
      </c>
      <c r="D8" s="12" t="s">
        <v>1995</v>
      </c>
      <c r="E8" s="12" t="s">
        <v>1996</v>
      </c>
      <c r="F8" s="12" t="s">
        <v>1997</v>
      </c>
      <c r="G8" s="12" t="s">
        <v>1998</v>
      </c>
      <c r="H8" s="12" t="s">
        <v>1999</v>
      </c>
    </row>
    <row r="9" customFormat="false" ht="23.85" hidden="false" customHeight="false" outlineLevel="0" collapsed="false">
      <c r="A9" s="12" t="s">
        <v>57</v>
      </c>
      <c r="B9" s="12" t="s">
        <v>2000</v>
      </c>
      <c r="C9" s="12" t="s">
        <v>89</v>
      </c>
      <c r="D9" s="12" t="s">
        <v>2001</v>
      </c>
      <c r="E9" s="12" t="s">
        <v>1996</v>
      </c>
      <c r="F9" s="12" t="s">
        <v>2002</v>
      </c>
      <c r="G9" s="12" t="s">
        <v>2003</v>
      </c>
      <c r="H9" s="12" t="s">
        <v>2004</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26"/>
    <col collapsed="false" customWidth="true" hidden="false" outlineLevel="0" max="5" min="4" style="0" width="50"/>
    <col collapsed="false" customWidth="true" hidden="false" outlineLevel="0" max="6" min="6" style="0" width="34"/>
    <col collapsed="false" customWidth="true" hidden="false" outlineLevel="0" max="7" min="7" style="0" width="40"/>
  </cols>
  <sheetData>
    <row r="1" customFormat="false" ht="17.35" hidden="false" customHeight="false" outlineLevel="0" collapsed="false">
      <c r="A1" s="9" t="s">
        <v>43</v>
      </c>
    </row>
    <row r="2" customFormat="false" ht="30" hidden="false" customHeight="true" outlineLevel="0" collapsed="false">
      <c r="A2" s="10" t="s">
        <v>2005</v>
      </c>
      <c r="B2" s="10"/>
      <c r="C2" s="10"/>
      <c r="D2" s="10"/>
      <c r="E2" s="10"/>
      <c r="F2" s="10"/>
      <c r="G2" s="10"/>
    </row>
    <row r="4" customFormat="false" ht="15" hidden="false" customHeight="false" outlineLevel="0" collapsed="false">
      <c r="A4" s="11" t="s">
        <v>103</v>
      </c>
      <c r="B4" s="11" t="s">
        <v>156</v>
      </c>
      <c r="C4" s="11" t="s">
        <v>161</v>
      </c>
      <c r="D4" s="11" t="s">
        <v>1975</v>
      </c>
      <c r="E4" s="11" t="s">
        <v>2006</v>
      </c>
      <c r="F4" s="11" t="s">
        <v>2007</v>
      </c>
      <c r="G4" s="11" t="s">
        <v>104</v>
      </c>
    </row>
    <row r="5" customFormat="false" ht="15" hidden="false" customHeight="false" outlineLevel="0" collapsed="false">
      <c r="A5" s="12" t="s">
        <v>109</v>
      </c>
      <c r="B5" s="12" t="s">
        <v>2008</v>
      </c>
      <c r="C5" s="12" t="s">
        <v>106</v>
      </c>
      <c r="D5" s="12" t="s">
        <v>2009</v>
      </c>
      <c r="E5" s="12" t="s">
        <v>2010</v>
      </c>
      <c r="F5" s="12" t="s">
        <v>2011</v>
      </c>
      <c r="G5" s="12" t="s">
        <v>2012</v>
      </c>
    </row>
    <row r="6" customFormat="false" ht="15" hidden="false" customHeight="false" outlineLevel="0" collapsed="false">
      <c r="A6" s="12" t="s">
        <v>109</v>
      </c>
      <c r="B6" s="12" t="s">
        <v>2013</v>
      </c>
      <c r="C6" s="12" t="s">
        <v>106</v>
      </c>
      <c r="D6" s="12" t="s">
        <v>2014</v>
      </c>
      <c r="E6" s="12" t="s">
        <v>2015</v>
      </c>
      <c r="F6" s="12" t="s">
        <v>2016</v>
      </c>
      <c r="G6" s="12" t="s">
        <v>2017</v>
      </c>
    </row>
    <row r="7" customFormat="false" ht="15" hidden="false" customHeight="false" outlineLevel="0" collapsed="false">
      <c r="A7" s="12" t="s">
        <v>109</v>
      </c>
      <c r="B7" s="12" t="s">
        <v>2018</v>
      </c>
      <c r="C7" s="12" t="s">
        <v>106</v>
      </c>
      <c r="D7" s="12" t="s">
        <v>2019</v>
      </c>
      <c r="E7" s="12" t="s">
        <v>2020</v>
      </c>
      <c r="F7" s="12"/>
      <c r="G7" s="12" t="s">
        <v>2021</v>
      </c>
    </row>
    <row r="8" customFormat="false" ht="15" hidden="false" customHeight="false" outlineLevel="0" collapsed="false">
      <c r="A8" s="12" t="s">
        <v>109</v>
      </c>
      <c r="B8" s="12" t="s">
        <v>2022</v>
      </c>
      <c r="C8" s="12" t="s">
        <v>106</v>
      </c>
      <c r="D8" s="12" t="s">
        <v>2023</v>
      </c>
      <c r="E8" s="12" t="s">
        <v>2024</v>
      </c>
      <c r="F8" s="12"/>
      <c r="G8" s="12" t="s">
        <v>2021</v>
      </c>
    </row>
    <row r="9" customFormat="false" ht="23.85" hidden="false" customHeight="false" outlineLevel="0" collapsed="false">
      <c r="A9" s="12" t="s">
        <v>109</v>
      </c>
      <c r="B9" s="12" t="s">
        <v>2025</v>
      </c>
      <c r="C9" s="12" t="s">
        <v>115</v>
      </c>
      <c r="D9" s="12" t="s">
        <v>2026</v>
      </c>
      <c r="E9" s="12" t="s">
        <v>2027</v>
      </c>
      <c r="F9" s="12" t="s">
        <v>2028</v>
      </c>
      <c r="G9" s="12" t="s">
        <v>2029</v>
      </c>
    </row>
    <row r="10" customFormat="false" ht="23.85" hidden="false" customHeight="false" outlineLevel="0" collapsed="false">
      <c r="A10" s="12" t="s">
        <v>2030</v>
      </c>
      <c r="B10" s="12" t="s">
        <v>2031</v>
      </c>
      <c r="C10" s="12" t="s">
        <v>115</v>
      </c>
      <c r="D10" s="12" t="s">
        <v>2032</v>
      </c>
      <c r="E10" s="12" t="s">
        <v>2033</v>
      </c>
      <c r="F10" s="12" t="s">
        <v>2034</v>
      </c>
      <c r="G10" s="12" t="s">
        <v>2035</v>
      </c>
    </row>
    <row r="11" customFormat="false" ht="15" hidden="false" customHeight="false" outlineLevel="0" collapsed="false">
      <c r="A11" s="12" t="s">
        <v>109</v>
      </c>
      <c r="B11" s="12" t="s">
        <v>2036</v>
      </c>
      <c r="C11" s="12" t="s">
        <v>112</v>
      </c>
      <c r="D11" s="12" t="s">
        <v>2037</v>
      </c>
      <c r="E11" s="12" t="s">
        <v>2010</v>
      </c>
      <c r="F11" s="12" t="s">
        <v>2038</v>
      </c>
      <c r="G11" s="12" t="s">
        <v>2039</v>
      </c>
    </row>
    <row r="12" customFormat="false" ht="23.85" hidden="false" customHeight="false" outlineLevel="0" collapsed="false">
      <c r="A12" s="12" t="s">
        <v>109</v>
      </c>
      <c r="B12" s="12" t="s">
        <v>2040</v>
      </c>
      <c r="C12" s="12" t="s">
        <v>132</v>
      </c>
      <c r="D12" s="12" t="s">
        <v>2041</v>
      </c>
      <c r="E12" s="12" t="s">
        <v>2010</v>
      </c>
      <c r="F12" s="12" t="s">
        <v>2042</v>
      </c>
      <c r="G12" s="12" t="s">
        <v>2043</v>
      </c>
    </row>
    <row r="13" customFormat="false" ht="23.85" hidden="false" customHeight="false" outlineLevel="0" collapsed="false">
      <c r="A13" s="12" t="s">
        <v>2030</v>
      </c>
      <c r="B13" s="12" t="s">
        <v>2044</v>
      </c>
      <c r="C13" s="12" t="s">
        <v>118</v>
      </c>
      <c r="D13" s="12" t="s">
        <v>2045</v>
      </c>
      <c r="E13" s="12" t="s">
        <v>2046</v>
      </c>
      <c r="F13" s="12" t="s">
        <v>2047</v>
      </c>
      <c r="G13" s="12" t="s">
        <v>2048</v>
      </c>
    </row>
    <row r="14" customFormat="false" ht="23.85" hidden="false" customHeight="false" outlineLevel="0" collapsed="false">
      <c r="A14" s="12" t="s">
        <v>109</v>
      </c>
      <c r="B14" s="12" t="s">
        <v>2049</v>
      </c>
      <c r="C14" s="12" t="s">
        <v>2050</v>
      </c>
      <c r="D14" s="12" t="s">
        <v>2051</v>
      </c>
      <c r="E14" s="12" t="s">
        <v>2052</v>
      </c>
      <c r="F14" s="12" t="s">
        <v>2053</v>
      </c>
      <c r="G14" s="12" t="s">
        <v>120</v>
      </c>
    </row>
    <row r="15" customFormat="false" ht="23.85" hidden="false" customHeight="false" outlineLevel="0" collapsed="false">
      <c r="A15" s="12" t="s">
        <v>109</v>
      </c>
      <c r="B15" s="12" t="s">
        <v>141</v>
      </c>
      <c r="C15" s="12" t="s">
        <v>2054</v>
      </c>
      <c r="D15" s="12" t="s">
        <v>2055</v>
      </c>
      <c r="E15" s="12" t="s">
        <v>2056</v>
      </c>
      <c r="F15" s="12" t="s">
        <v>2010</v>
      </c>
      <c r="G15" s="12" t="s">
        <v>2057</v>
      </c>
    </row>
    <row r="16" customFormat="false" ht="23.85" hidden="false" customHeight="false" outlineLevel="0" collapsed="false">
      <c r="A16" s="12" t="s">
        <v>109</v>
      </c>
      <c r="B16" s="12" t="s">
        <v>2058</v>
      </c>
      <c r="C16" s="12" t="s">
        <v>2059</v>
      </c>
      <c r="D16" s="12" t="s">
        <v>2060</v>
      </c>
      <c r="E16" s="12" t="s">
        <v>2061</v>
      </c>
      <c r="F16" s="12" t="s">
        <v>2010</v>
      </c>
      <c r="G16" s="12" t="s">
        <v>2062</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70"/>
    <col collapsed="false" customWidth="true" hidden="false" outlineLevel="0" max="4" min="4" style="0" width="20"/>
    <col collapsed="false" customWidth="true" hidden="false" outlineLevel="0" max="5" min="5" style="0" width="18"/>
    <col collapsed="false" customWidth="true" hidden="false" outlineLevel="0" max="6" min="6" style="0" width="20"/>
    <col collapsed="false" customWidth="true" hidden="false" outlineLevel="0" max="7" min="7" style="0" width="34"/>
  </cols>
  <sheetData>
    <row r="1" customFormat="false" ht="17.35" hidden="false" customHeight="false" outlineLevel="0" collapsed="false">
      <c r="A1" s="9" t="s">
        <v>2063</v>
      </c>
    </row>
    <row r="2" customFormat="false" ht="30" hidden="false" customHeight="true" outlineLevel="0" collapsed="false">
      <c r="A2" s="10" t="s">
        <v>2064</v>
      </c>
      <c r="B2" s="10"/>
      <c r="C2" s="10"/>
      <c r="D2" s="10"/>
      <c r="E2" s="10"/>
      <c r="F2" s="10"/>
      <c r="G2" s="10"/>
    </row>
    <row r="4" customFormat="false" ht="15" hidden="false" customHeight="false" outlineLevel="0" collapsed="false">
      <c r="A4" s="11" t="s">
        <v>2065</v>
      </c>
      <c r="B4" s="11" t="s">
        <v>2066</v>
      </c>
      <c r="C4" s="11" t="s">
        <v>2067</v>
      </c>
      <c r="D4" s="11" t="s">
        <v>2068</v>
      </c>
      <c r="E4" s="11" t="s">
        <v>2069</v>
      </c>
      <c r="F4" s="11" t="s">
        <v>2070</v>
      </c>
      <c r="G4" s="11" t="s">
        <v>2071</v>
      </c>
    </row>
    <row r="5" customFormat="false" ht="23.85" hidden="false" customHeight="false" outlineLevel="0" collapsed="false">
      <c r="A5" s="12" t="s">
        <v>2072</v>
      </c>
      <c r="B5" s="12" t="s">
        <v>2073</v>
      </c>
      <c r="C5" s="12" t="s">
        <v>2074</v>
      </c>
      <c r="D5" s="12" t="s">
        <v>2075</v>
      </c>
      <c r="E5" s="12" t="s">
        <v>2076</v>
      </c>
      <c r="F5" s="12" t="s">
        <v>2077</v>
      </c>
      <c r="G5" s="12" t="s">
        <v>2078</v>
      </c>
    </row>
    <row r="6" customFormat="false" ht="23.85" hidden="false" customHeight="false" outlineLevel="0" collapsed="false">
      <c r="A6" s="12" t="s">
        <v>2079</v>
      </c>
      <c r="B6" s="12" t="s">
        <v>2073</v>
      </c>
      <c r="C6" s="12" t="s">
        <v>2080</v>
      </c>
      <c r="D6" s="12" t="s">
        <v>2075</v>
      </c>
      <c r="E6" s="12"/>
      <c r="F6" s="12"/>
      <c r="G6" s="12" t="s">
        <v>2081</v>
      </c>
    </row>
    <row r="7" customFormat="false" ht="15" hidden="false" customHeight="false" outlineLevel="0" collapsed="false">
      <c r="A7" s="12" t="s">
        <v>2082</v>
      </c>
      <c r="B7" s="12" t="s">
        <v>2073</v>
      </c>
      <c r="C7" s="12" t="s">
        <v>2083</v>
      </c>
      <c r="D7" s="12" t="s">
        <v>2075</v>
      </c>
      <c r="E7" s="12"/>
      <c r="F7" s="12"/>
      <c r="G7" s="12" t="s">
        <v>2081</v>
      </c>
    </row>
    <row r="8" customFormat="false" ht="15" hidden="false" customHeight="false" outlineLevel="0" collapsed="false">
      <c r="A8" s="12" t="s">
        <v>2084</v>
      </c>
      <c r="B8" s="12" t="s">
        <v>2073</v>
      </c>
      <c r="C8" s="12" t="s">
        <v>2085</v>
      </c>
      <c r="D8" s="12" t="s">
        <v>2075</v>
      </c>
      <c r="E8" s="12"/>
      <c r="F8" s="12"/>
      <c r="G8" s="12" t="s">
        <v>2081</v>
      </c>
    </row>
    <row r="9" customFormat="false" ht="15" hidden="false" customHeight="false" outlineLevel="0" collapsed="false">
      <c r="A9" s="12" t="s">
        <v>2086</v>
      </c>
      <c r="B9" s="12" t="s">
        <v>2073</v>
      </c>
      <c r="C9" s="12" t="s">
        <v>2087</v>
      </c>
      <c r="D9" s="12" t="s">
        <v>2075</v>
      </c>
      <c r="E9" s="12"/>
      <c r="F9" s="12"/>
      <c r="G9" s="12" t="s">
        <v>2078</v>
      </c>
    </row>
    <row r="10" customFormat="false" ht="15" hidden="false" customHeight="false" outlineLevel="0" collapsed="false">
      <c r="A10" s="12" t="s">
        <v>2088</v>
      </c>
      <c r="B10" s="12" t="s">
        <v>2089</v>
      </c>
      <c r="C10" s="12" t="s">
        <v>2090</v>
      </c>
      <c r="D10" s="12" t="s">
        <v>2075</v>
      </c>
      <c r="E10" s="12"/>
      <c r="F10" s="12" t="s">
        <v>2091</v>
      </c>
      <c r="G10" s="12" t="s">
        <v>2092</v>
      </c>
    </row>
    <row r="11" customFormat="false" ht="15" hidden="false" customHeight="false" outlineLevel="0" collapsed="false">
      <c r="A11" s="12" t="s">
        <v>2093</v>
      </c>
      <c r="B11" s="12" t="s">
        <v>2089</v>
      </c>
      <c r="C11" s="12" t="s">
        <v>2094</v>
      </c>
      <c r="D11" s="12" t="s">
        <v>2075</v>
      </c>
      <c r="E11" s="12" t="s">
        <v>2095</v>
      </c>
      <c r="F11" s="12"/>
      <c r="G11" s="12" t="s">
        <v>2092</v>
      </c>
    </row>
    <row r="12" customFormat="false" ht="15" hidden="false" customHeight="false" outlineLevel="0" collapsed="false">
      <c r="A12" s="12" t="s">
        <v>2096</v>
      </c>
      <c r="B12" s="12" t="s">
        <v>2089</v>
      </c>
      <c r="C12" s="12" t="s">
        <v>2097</v>
      </c>
      <c r="D12" s="12" t="s">
        <v>2075</v>
      </c>
      <c r="E12" s="12"/>
      <c r="F12" s="12"/>
      <c r="G12" s="12" t="s">
        <v>2081</v>
      </c>
    </row>
    <row r="13" customFormat="false" ht="15" hidden="false" customHeight="false" outlineLevel="0" collapsed="false">
      <c r="A13" s="12" t="s">
        <v>2098</v>
      </c>
      <c r="B13" s="12" t="s">
        <v>2089</v>
      </c>
      <c r="C13" s="12" t="s">
        <v>2099</v>
      </c>
      <c r="D13" s="12" t="s">
        <v>2075</v>
      </c>
      <c r="E13" s="12"/>
      <c r="F13" s="12"/>
      <c r="G13" s="12" t="s">
        <v>2081</v>
      </c>
    </row>
    <row r="14" customFormat="false" ht="15" hidden="false" customHeight="false" outlineLevel="0" collapsed="false">
      <c r="A14" s="12" t="s">
        <v>2100</v>
      </c>
      <c r="B14" s="12" t="s">
        <v>2089</v>
      </c>
      <c r="C14" s="12" t="s">
        <v>2101</v>
      </c>
      <c r="D14" s="12" t="s">
        <v>2075</v>
      </c>
      <c r="E14" s="12"/>
      <c r="F14" s="12"/>
      <c r="G14" s="12" t="s">
        <v>2081</v>
      </c>
    </row>
    <row r="15" customFormat="false" ht="23.85" hidden="false" customHeight="false" outlineLevel="0" collapsed="false">
      <c r="A15" s="12" t="s">
        <v>2102</v>
      </c>
      <c r="B15" s="12" t="s">
        <v>2089</v>
      </c>
      <c r="C15" s="12" t="s">
        <v>2103</v>
      </c>
      <c r="D15" s="12" t="s">
        <v>909</v>
      </c>
      <c r="E15" s="12"/>
      <c r="F15" s="12"/>
      <c r="G15" s="12" t="s">
        <v>2104</v>
      </c>
    </row>
    <row r="16" customFormat="false" ht="23.85" hidden="false" customHeight="false" outlineLevel="0" collapsed="false">
      <c r="A16" s="12" t="s">
        <v>2105</v>
      </c>
      <c r="B16" s="12" t="s">
        <v>2106</v>
      </c>
      <c r="C16" s="12" t="s">
        <v>2107</v>
      </c>
      <c r="D16" s="12" t="s">
        <v>56</v>
      </c>
      <c r="E16" s="12"/>
      <c r="F16" s="12"/>
      <c r="G16" s="12" t="s">
        <v>2108</v>
      </c>
    </row>
    <row r="17" customFormat="false" ht="23.85" hidden="false" customHeight="false" outlineLevel="0" collapsed="false">
      <c r="A17" s="12" t="s">
        <v>2109</v>
      </c>
      <c r="B17" s="12" t="s">
        <v>2106</v>
      </c>
      <c r="C17" s="12" t="s">
        <v>2110</v>
      </c>
      <c r="D17" s="12" t="s">
        <v>60</v>
      </c>
      <c r="E17" s="12"/>
      <c r="F17" s="12"/>
      <c r="G17" s="12" t="s">
        <v>2108</v>
      </c>
    </row>
    <row r="18" customFormat="false" ht="23.85" hidden="false" customHeight="false" outlineLevel="0" collapsed="false">
      <c r="A18" s="12" t="s">
        <v>2111</v>
      </c>
      <c r="B18" s="12" t="s">
        <v>2106</v>
      </c>
      <c r="C18" s="12" t="s">
        <v>2112</v>
      </c>
      <c r="D18" s="12" t="s">
        <v>2075</v>
      </c>
      <c r="E18" s="12"/>
      <c r="F18" s="12"/>
      <c r="G18" s="12" t="s">
        <v>2108</v>
      </c>
    </row>
    <row r="19" customFormat="false" ht="23.85" hidden="false" customHeight="false" outlineLevel="0" collapsed="false">
      <c r="A19" s="12" t="s">
        <v>2113</v>
      </c>
      <c r="B19" s="12" t="s">
        <v>2114</v>
      </c>
      <c r="C19" s="12" t="s">
        <v>2115</v>
      </c>
      <c r="D19" s="12" t="s">
        <v>2116</v>
      </c>
      <c r="E19" s="12"/>
      <c r="F19" s="12"/>
      <c r="G19" s="12" t="s">
        <v>2117</v>
      </c>
    </row>
    <row r="20" customFormat="false" ht="23.85" hidden="false" customHeight="false" outlineLevel="0" collapsed="false">
      <c r="A20" s="12" t="s">
        <v>2113</v>
      </c>
      <c r="B20" s="12" t="s">
        <v>2114</v>
      </c>
      <c r="C20" s="12" t="s">
        <v>2118</v>
      </c>
      <c r="D20" s="12" t="s">
        <v>2116</v>
      </c>
      <c r="E20" s="12"/>
      <c r="F20" s="12"/>
      <c r="G20" s="12" t="s">
        <v>2117</v>
      </c>
    </row>
    <row r="21" customFormat="false" ht="23.85" hidden="false" customHeight="false" outlineLevel="0" collapsed="false">
      <c r="A21" s="12" t="s">
        <v>2113</v>
      </c>
      <c r="B21" s="12" t="s">
        <v>2114</v>
      </c>
      <c r="C21" s="12" t="s">
        <v>2119</v>
      </c>
      <c r="D21" s="12" t="s">
        <v>2116</v>
      </c>
      <c r="E21" s="12"/>
      <c r="F21" s="12"/>
      <c r="G21" s="12" t="s">
        <v>2117</v>
      </c>
    </row>
    <row r="22" customFormat="false" ht="23.85" hidden="false" customHeight="false" outlineLevel="0" collapsed="false">
      <c r="A22" s="12" t="s">
        <v>2113</v>
      </c>
      <c r="B22" s="12" t="s">
        <v>2114</v>
      </c>
      <c r="C22" s="12" t="s">
        <v>2120</v>
      </c>
      <c r="D22" s="12" t="s">
        <v>2116</v>
      </c>
      <c r="E22" s="12"/>
      <c r="F22" s="12"/>
      <c r="G22" s="12" t="s">
        <v>2117</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A4C8"/>
    <pageSetUpPr fitToPage="tru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50"/>
    <col collapsed="false" customWidth="true" hidden="false" outlineLevel="0" max="4" min="4" style="0" width="44"/>
    <col collapsed="false" customWidth="true" hidden="false" outlineLevel="0" max="5" min="5" style="0" width="26"/>
    <col collapsed="false" customWidth="true" hidden="false" outlineLevel="0" max="6" min="6" style="0" width="40"/>
  </cols>
  <sheetData>
    <row r="1" customFormat="false" ht="17.35" hidden="false" customHeight="false" outlineLevel="0" collapsed="false">
      <c r="A1" s="9" t="s">
        <v>2121</v>
      </c>
    </row>
    <row r="2" customFormat="false" ht="30" hidden="false" customHeight="true" outlineLevel="0" collapsed="false">
      <c r="A2" s="10" t="s">
        <v>2122</v>
      </c>
      <c r="B2" s="10"/>
      <c r="C2" s="10"/>
      <c r="D2" s="10"/>
      <c r="E2" s="10"/>
      <c r="F2" s="10"/>
    </row>
    <row r="4" customFormat="false" ht="15" hidden="false" customHeight="false" outlineLevel="0" collapsed="false">
      <c r="A4" s="11" t="s">
        <v>2123</v>
      </c>
      <c r="B4" s="11" t="s">
        <v>2124</v>
      </c>
      <c r="C4" s="11" t="s">
        <v>2125</v>
      </c>
      <c r="D4" s="11" t="s">
        <v>2126</v>
      </c>
      <c r="E4" s="11" t="s">
        <v>2127</v>
      </c>
      <c r="F4" s="11" t="s">
        <v>50</v>
      </c>
    </row>
    <row r="5" customFormat="false" ht="23.85" hidden="false" customHeight="false" outlineLevel="0" collapsed="false">
      <c r="A5" s="12" t="s">
        <v>2128</v>
      </c>
      <c r="B5" s="12" t="s">
        <v>2129</v>
      </c>
      <c r="C5" s="12" t="s">
        <v>2130</v>
      </c>
      <c r="D5" s="12" t="s">
        <v>2131</v>
      </c>
      <c r="E5" s="12" t="s">
        <v>2132</v>
      </c>
      <c r="F5" s="12" t="s">
        <v>2133</v>
      </c>
    </row>
    <row r="6" customFormat="false" ht="15" hidden="false" customHeight="false" outlineLevel="0" collapsed="false">
      <c r="A6" s="12" t="s">
        <v>2134</v>
      </c>
      <c r="B6" s="12" t="s">
        <v>2135</v>
      </c>
      <c r="C6" s="12" t="s">
        <v>2136</v>
      </c>
      <c r="D6" s="12" t="s">
        <v>2131</v>
      </c>
      <c r="E6" s="12" t="s">
        <v>2132</v>
      </c>
      <c r="F6" s="12" t="s">
        <v>2137</v>
      </c>
    </row>
    <row r="7" customFormat="false" ht="15" hidden="false" customHeight="false" outlineLevel="0" collapsed="false">
      <c r="A7" s="12" t="s">
        <v>2138</v>
      </c>
      <c r="B7" s="12" t="s">
        <v>2139</v>
      </c>
      <c r="C7" s="12" t="s">
        <v>2140</v>
      </c>
      <c r="D7" s="12" t="s">
        <v>2141</v>
      </c>
      <c r="E7" s="12" t="s">
        <v>2132</v>
      </c>
      <c r="F7" s="12" t="s">
        <v>2142</v>
      </c>
    </row>
    <row r="8" customFormat="false" ht="15" hidden="false" customHeight="false" outlineLevel="0" collapsed="false">
      <c r="A8" s="12" t="s">
        <v>2143</v>
      </c>
      <c r="B8" s="12" t="s">
        <v>2144</v>
      </c>
      <c r="C8" s="12" t="s">
        <v>2145</v>
      </c>
      <c r="D8" s="12" t="s">
        <v>2146</v>
      </c>
      <c r="E8" s="12" t="s">
        <v>2132</v>
      </c>
      <c r="F8" s="12" t="s">
        <v>2142</v>
      </c>
    </row>
    <row r="9" customFormat="false" ht="23.85" hidden="false" customHeight="false" outlineLevel="0" collapsed="false">
      <c r="A9" s="12" t="s">
        <v>2147</v>
      </c>
      <c r="B9" s="12" t="s">
        <v>2148</v>
      </c>
      <c r="C9" s="12" t="s">
        <v>2149</v>
      </c>
      <c r="D9" s="12" t="s">
        <v>2150</v>
      </c>
      <c r="E9" s="12" t="s">
        <v>2132</v>
      </c>
      <c r="F9" s="12" t="s">
        <v>2151</v>
      </c>
    </row>
    <row r="10" customFormat="false" ht="15" hidden="false" customHeight="false" outlineLevel="0" collapsed="false">
      <c r="A10" s="12" t="s">
        <v>2152</v>
      </c>
      <c r="B10" s="12" t="s">
        <v>2153</v>
      </c>
      <c r="C10" s="12" t="s">
        <v>2154</v>
      </c>
      <c r="D10" s="12" t="s">
        <v>2155</v>
      </c>
      <c r="E10" s="12" t="s">
        <v>2132</v>
      </c>
      <c r="F10" s="12" t="s">
        <v>2142</v>
      </c>
    </row>
    <row r="11" customFormat="false" ht="15" hidden="false" customHeight="false" outlineLevel="0" collapsed="false">
      <c r="A11" s="12" t="s">
        <v>2156</v>
      </c>
      <c r="B11" s="12" t="s">
        <v>2157</v>
      </c>
      <c r="C11" s="12" t="s">
        <v>2158</v>
      </c>
      <c r="D11" s="12" t="s">
        <v>2159</v>
      </c>
      <c r="E11" s="12" t="s">
        <v>2132</v>
      </c>
      <c r="F11" s="12" t="s">
        <v>2142</v>
      </c>
    </row>
    <row r="12" customFormat="false" ht="15" hidden="false" customHeight="false" outlineLevel="0" collapsed="false">
      <c r="A12" s="12" t="s">
        <v>2160</v>
      </c>
      <c r="B12" s="12" t="s">
        <v>2161</v>
      </c>
      <c r="C12" s="12" t="s">
        <v>2162</v>
      </c>
      <c r="D12" s="12" t="s">
        <v>2163</v>
      </c>
      <c r="E12" s="12" t="s">
        <v>2132</v>
      </c>
      <c r="F12" s="12" t="s">
        <v>2142</v>
      </c>
    </row>
    <row r="13" customFormat="false" ht="15" hidden="false" customHeight="false" outlineLevel="0" collapsed="false">
      <c r="A13" s="12" t="s">
        <v>2164</v>
      </c>
      <c r="B13" s="12" t="s">
        <v>2165</v>
      </c>
      <c r="C13" s="12" t="s">
        <v>2166</v>
      </c>
      <c r="D13" s="12" t="s">
        <v>2163</v>
      </c>
      <c r="E13" s="12" t="s">
        <v>2132</v>
      </c>
      <c r="F13" s="12" t="s">
        <v>2142</v>
      </c>
    </row>
    <row r="14" customFormat="false" ht="15" hidden="false" customHeight="false" outlineLevel="0" collapsed="false">
      <c r="A14" s="12" t="s">
        <v>2167</v>
      </c>
      <c r="B14" s="12" t="s">
        <v>2168</v>
      </c>
      <c r="C14" s="12" t="s">
        <v>2169</v>
      </c>
      <c r="D14" s="12" t="s">
        <v>2163</v>
      </c>
      <c r="E14" s="12" t="s">
        <v>2132</v>
      </c>
      <c r="F14" s="12" t="s">
        <v>2170</v>
      </c>
    </row>
    <row r="15" customFormat="false" ht="15" hidden="false" customHeight="false" outlineLevel="0" collapsed="false">
      <c r="A15" s="12" t="s">
        <v>2171</v>
      </c>
      <c r="B15" s="12" t="s">
        <v>2172</v>
      </c>
      <c r="C15" s="12" t="s">
        <v>2173</v>
      </c>
      <c r="D15" s="12" t="s">
        <v>2174</v>
      </c>
      <c r="E15" s="12" t="s">
        <v>2132</v>
      </c>
      <c r="F15" s="12" t="s">
        <v>2175</v>
      </c>
    </row>
    <row r="16" customFormat="false" ht="23.85" hidden="false" customHeight="false" outlineLevel="0" collapsed="false">
      <c r="A16" s="12" t="s">
        <v>2176</v>
      </c>
      <c r="B16" s="12" t="s">
        <v>2177</v>
      </c>
      <c r="C16" s="12" t="s">
        <v>2178</v>
      </c>
      <c r="D16" s="12" t="s">
        <v>2179</v>
      </c>
      <c r="E16" s="12" t="s">
        <v>2180</v>
      </c>
      <c r="F16" s="12" t="s">
        <v>2142</v>
      </c>
    </row>
    <row r="17" customFormat="false" ht="23.85" hidden="false" customHeight="false" outlineLevel="0" collapsed="false">
      <c r="A17" s="12" t="s">
        <v>2181</v>
      </c>
      <c r="B17" s="12" t="s">
        <v>2182</v>
      </c>
      <c r="C17" s="12" t="s">
        <v>2183</v>
      </c>
      <c r="D17" s="12" t="s">
        <v>2184</v>
      </c>
      <c r="E17" s="12" t="s">
        <v>2180</v>
      </c>
      <c r="F17" s="12" t="s">
        <v>2142</v>
      </c>
    </row>
    <row r="18" customFormat="false" ht="23.85" hidden="false" customHeight="false" outlineLevel="0" collapsed="false">
      <c r="A18" s="12" t="s">
        <v>2185</v>
      </c>
      <c r="B18" s="12" t="s">
        <v>2186</v>
      </c>
      <c r="C18" s="12" t="s">
        <v>2187</v>
      </c>
      <c r="D18" s="12" t="s">
        <v>2184</v>
      </c>
      <c r="E18" s="12" t="s">
        <v>2180</v>
      </c>
      <c r="F18" s="12" t="s">
        <v>2142</v>
      </c>
    </row>
    <row r="19" customFormat="false" ht="15" hidden="false" customHeight="false" outlineLevel="0" collapsed="false">
      <c r="A19" s="12" t="s">
        <v>2188</v>
      </c>
      <c r="B19" s="12" t="s">
        <v>2189</v>
      </c>
      <c r="C19" s="12" t="s">
        <v>2190</v>
      </c>
      <c r="D19" s="12" t="s">
        <v>2191</v>
      </c>
      <c r="E19" s="12" t="s">
        <v>2192</v>
      </c>
      <c r="F19" s="12" t="s">
        <v>2193</v>
      </c>
    </row>
    <row r="20" customFormat="false" ht="15" hidden="false" customHeight="false" outlineLevel="0" collapsed="false">
      <c r="A20" s="12" t="s">
        <v>2194</v>
      </c>
      <c r="B20" s="12" t="s">
        <v>2195</v>
      </c>
      <c r="C20" s="12" t="s">
        <v>2196</v>
      </c>
      <c r="D20" s="12" t="s">
        <v>2191</v>
      </c>
      <c r="E20" s="12" t="s">
        <v>2192</v>
      </c>
      <c r="F20" s="12" t="s">
        <v>2193</v>
      </c>
    </row>
    <row r="21" customFormat="false" ht="15" hidden="false" customHeight="false" outlineLevel="0" collapsed="false">
      <c r="A21" s="12" t="s">
        <v>2197</v>
      </c>
      <c r="B21" s="12" t="s">
        <v>2198</v>
      </c>
      <c r="C21" s="12" t="s">
        <v>2199</v>
      </c>
      <c r="D21" s="12" t="s">
        <v>2200</v>
      </c>
      <c r="E21" s="12" t="s">
        <v>2201</v>
      </c>
      <c r="F21" s="12" t="s">
        <v>2202</v>
      </c>
    </row>
    <row r="22" customFormat="false" ht="15" hidden="false" customHeight="false" outlineLevel="0" collapsed="false">
      <c r="A22" s="12" t="s">
        <v>2203</v>
      </c>
      <c r="B22" s="12" t="s">
        <v>2204</v>
      </c>
      <c r="C22" s="12" t="s">
        <v>2199</v>
      </c>
      <c r="D22" s="12" t="s">
        <v>2200</v>
      </c>
      <c r="E22" s="12" t="s">
        <v>2201</v>
      </c>
      <c r="F22" s="12" t="s">
        <v>2205</v>
      </c>
    </row>
    <row r="23" customFormat="false" ht="15" hidden="false" customHeight="false" outlineLevel="0" collapsed="false">
      <c r="A23" s="12" t="s">
        <v>2206</v>
      </c>
      <c r="B23" s="12" t="s">
        <v>2207</v>
      </c>
      <c r="C23" s="12" t="s">
        <v>2208</v>
      </c>
      <c r="D23" s="12" t="s">
        <v>2200</v>
      </c>
      <c r="E23" s="12" t="s">
        <v>2201</v>
      </c>
      <c r="F23" s="12" t="s">
        <v>2205</v>
      </c>
    </row>
    <row r="24" customFormat="false" ht="35.05" hidden="false" customHeight="false" outlineLevel="0" collapsed="false">
      <c r="A24" s="12" t="s">
        <v>2209</v>
      </c>
      <c r="B24" s="12" t="s">
        <v>2210</v>
      </c>
      <c r="C24" s="12" t="s">
        <v>2211</v>
      </c>
      <c r="D24" s="12" t="s">
        <v>2212</v>
      </c>
      <c r="E24" s="12" t="s">
        <v>2132</v>
      </c>
      <c r="F24" s="12" t="s">
        <v>2213</v>
      </c>
    </row>
  </sheetData>
  <mergeCells count="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50"/>
    <col collapsed="false" customWidth="true" hidden="false" outlineLevel="0" max="4" min="4" style="0" width="40"/>
    <col collapsed="false" customWidth="true" hidden="false" outlineLevel="0" max="5" min="5" style="0" width="38"/>
    <col collapsed="false" customWidth="true" hidden="false" outlineLevel="0" max="6" min="6" style="0" width="18"/>
    <col collapsed="false" customWidth="true" hidden="false" outlineLevel="0" max="7" min="7" style="0" width="10"/>
    <col collapsed="false" customWidth="true" hidden="false" outlineLevel="0" max="8" min="8" style="0" width="44"/>
    <col collapsed="false" customWidth="true" hidden="false" outlineLevel="0" max="9" min="9" style="0" width="18"/>
  </cols>
  <sheetData>
    <row r="1" customFormat="false" ht="17.35" hidden="false" customHeight="false" outlineLevel="0" collapsed="false">
      <c r="A1" s="9" t="s">
        <v>2214</v>
      </c>
    </row>
    <row r="2" customFormat="false" ht="30" hidden="false" customHeight="true" outlineLevel="0" collapsed="false">
      <c r="A2" s="10" t="s">
        <v>2215</v>
      </c>
      <c r="B2" s="10"/>
      <c r="C2" s="10"/>
      <c r="D2" s="10"/>
      <c r="E2" s="10"/>
      <c r="F2" s="10"/>
      <c r="G2" s="10"/>
      <c r="H2" s="10"/>
      <c r="I2" s="10"/>
    </row>
    <row r="4" customFormat="false" ht="23.85" hidden="false" customHeight="false" outlineLevel="0" collapsed="false">
      <c r="A4" s="11" t="s">
        <v>2216</v>
      </c>
      <c r="B4" s="11" t="s">
        <v>2217</v>
      </c>
      <c r="C4" s="11" t="s">
        <v>2218</v>
      </c>
      <c r="D4" s="11" t="s">
        <v>2219</v>
      </c>
      <c r="E4" s="11" t="s">
        <v>2220</v>
      </c>
      <c r="F4" s="11" t="s">
        <v>2221</v>
      </c>
      <c r="G4" s="11" t="s">
        <v>280</v>
      </c>
      <c r="H4" s="11" t="s">
        <v>2222</v>
      </c>
      <c r="I4" s="11" t="s">
        <v>2223</v>
      </c>
    </row>
    <row r="5" customFormat="false" ht="35.05" hidden="false" customHeight="false" outlineLevel="0" collapsed="false">
      <c r="A5" s="12" t="n">
        <v>1</v>
      </c>
      <c r="B5" s="12" t="s">
        <v>2224</v>
      </c>
      <c r="C5" s="12" t="s">
        <v>2225</v>
      </c>
      <c r="D5" s="12" t="s">
        <v>2226</v>
      </c>
      <c r="E5" s="12" t="s">
        <v>2227</v>
      </c>
      <c r="F5" s="12" t="s">
        <v>2228</v>
      </c>
      <c r="G5" s="12" t="s">
        <v>2229</v>
      </c>
      <c r="H5" s="19"/>
      <c r="I5" s="19"/>
    </row>
    <row r="6" customFormat="false" ht="35.05" hidden="false" customHeight="false" outlineLevel="0" collapsed="false">
      <c r="A6" s="12" t="n">
        <v>2</v>
      </c>
      <c r="B6" s="12" t="s">
        <v>2230</v>
      </c>
      <c r="C6" s="12" t="s">
        <v>2231</v>
      </c>
      <c r="D6" s="12" t="s">
        <v>2232</v>
      </c>
      <c r="E6" s="12" t="s">
        <v>2233</v>
      </c>
      <c r="F6" s="12" t="s">
        <v>2228</v>
      </c>
      <c r="G6" s="12" t="s">
        <v>2229</v>
      </c>
      <c r="H6" s="19"/>
      <c r="I6" s="19"/>
    </row>
    <row r="7" customFormat="false" ht="35.05" hidden="false" customHeight="false" outlineLevel="0" collapsed="false">
      <c r="A7" s="12" t="n">
        <v>3</v>
      </c>
      <c r="B7" s="12" t="s">
        <v>2044</v>
      </c>
      <c r="C7" s="12" t="s">
        <v>2234</v>
      </c>
      <c r="D7" s="12" t="s">
        <v>2235</v>
      </c>
      <c r="E7" s="12" t="s">
        <v>2236</v>
      </c>
      <c r="F7" s="12" t="s">
        <v>2237</v>
      </c>
      <c r="G7" s="12" t="s">
        <v>2229</v>
      </c>
      <c r="H7" s="19"/>
      <c r="I7" s="19"/>
    </row>
    <row r="8" customFormat="false" ht="35.05" hidden="false" customHeight="false" outlineLevel="0" collapsed="false">
      <c r="A8" s="12" t="n">
        <v>4</v>
      </c>
      <c r="B8" s="12" t="s">
        <v>2238</v>
      </c>
      <c r="C8" s="12" t="s">
        <v>2239</v>
      </c>
      <c r="D8" s="12" t="s">
        <v>2240</v>
      </c>
      <c r="E8" s="12" t="s">
        <v>2241</v>
      </c>
      <c r="F8" s="12" t="s">
        <v>2237</v>
      </c>
      <c r="G8" s="12" t="s">
        <v>2229</v>
      </c>
      <c r="H8" s="19"/>
      <c r="I8" s="19"/>
    </row>
    <row r="9" customFormat="false" ht="35.05" hidden="false" customHeight="false" outlineLevel="0" collapsed="false">
      <c r="A9" s="12" t="n">
        <v>5</v>
      </c>
      <c r="B9" s="12" t="s">
        <v>2242</v>
      </c>
      <c r="C9" s="12" t="s">
        <v>2243</v>
      </c>
      <c r="D9" s="12" t="s">
        <v>2244</v>
      </c>
      <c r="E9" s="12" t="s">
        <v>2245</v>
      </c>
      <c r="F9" s="12" t="s">
        <v>2246</v>
      </c>
      <c r="G9" s="12" t="s">
        <v>2229</v>
      </c>
      <c r="H9" s="19"/>
      <c r="I9" s="19"/>
    </row>
    <row r="10" customFormat="false" ht="23.85" hidden="false" customHeight="false" outlineLevel="0" collapsed="false">
      <c r="A10" s="12" t="n">
        <v>6</v>
      </c>
      <c r="B10" s="12" t="s">
        <v>2247</v>
      </c>
      <c r="C10" s="12" t="s">
        <v>2248</v>
      </c>
      <c r="D10" s="12" t="s">
        <v>2249</v>
      </c>
      <c r="E10" s="12" t="s">
        <v>2250</v>
      </c>
      <c r="F10" s="12" t="s">
        <v>2251</v>
      </c>
      <c r="G10" s="12" t="s">
        <v>2229</v>
      </c>
      <c r="H10" s="19"/>
      <c r="I10" s="19"/>
    </row>
    <row r="11" customFormat="false" ht="35.05" hidden="false" customHeight="false" outlineLevel="0" collapsed="false">
      <c r="A11" s="12" t="n">
        <v>7</v>
      </c>
      <c r="B11" s="12" t="s">
        <v>2252</v>
      </c>
      <c r="C11" s="12" t="s">
        <v>2253</v>
      </c>
      <c r="D11" s="12" t="s">
        <v>2254</v>
      </c>
      <c r="E11" s="12" t="s">
        <v>2255</v>
      </c>
      <c r="F11" s="12" t="s">
        <v>2251</v>
      </c>
      <c r="G11" s="12" t="s">
        <v>2229</v>
      </c>
      <c r="H11" s="19"/>
      <c r="I11" s="19"/>
    </row>
    <row r="12" customFormat="false" ht="23.85" hidden="false" customHeight="false" outlineLevel="0" collapsed="false">
      <c r="A12" s="12" t="n">
        <v>8</v>
      </c>
      <c r="B12" s="12" t="s">
        <v>2256</v>
      </c>
      <c r="C12" s="12" t="s">
        <v>2257</v>
      </c>
      <c r="D12" s="12" t="s">
        <v>2258</v>
      </c>
      <c r="E12" s="12" t="s">
        <v>2259</v>
      </c>
      <c r="F12" s="12" t="s">
        <v>2260</v>
      </c>
      <c r="G12" s="12" t="s">
        <v>2229</v>
      </c>
      <c r="H12" s="19"/>
      <c r="I12" s="19"/>
    </row>
    <row r="13" customFormat="false" ht="46.25" hidden="false" customHeight="false" outlineLevel="0" collapsed="false">
      <c r="A13" s="12" t="n">
        <v>9</v>
      </c>
      <c r="B13" s="12" t="s">
        <v>2261</v>
      </c>
      <c r="C13" s="12" t="s">
        <v>2262</v>
      </c>
      <c r="D13" s="12" t="s">
        <v>2263</v>
      </c>
      <c r="E13" s="12" t="s">
        <v>2264</v>
      </c>
      <c r="F13" s="12" t="s">
        <v>2265</v>
      </c>
      <c r="G13" s="12" t="s">
        <v>2229</v>
      </c>
      <c r="H13" s="19"/>
      <c r="I13" s="19"/>
    </row>
    <row r="14" customFormat="false" ht="35.05" hidden="false" customHeight="false" outlineLevel="0" collapsed="false">
      <c r="A14" s="12" t="n">
        <v>10</v>
      </c>
      <c r="B14" s="12" t="s">
        <v>2266</v>
      </c>
      <c r="C14" s="12" t="s">
        <v>2267</v>
      </c>
      <c r="D14" s="12" t="s">
        <v>2268</v>
      </c>
      <c r="E14" s="12" t="s">
        <v>2269</v>
      </c>
      <c r="F14" s="12" t="s">
        <v>2270</v>
      </c>
      <c r="G14" s="12" t="s">
        <v>2229</v>
      </c>
      <c r="H14" s="19"/>
      <c r="I14" s="19"/>
    </row>
    <row r="15" customFormat="false" ht="35.05" hidden="false" customHeight="false" outlineLevel="0" collapsed="false">
      <c r="A15" s="12" t="n">
        <v>11</v>
      </c>
      <c r="B15" s="12" t="s">
        <v>2271</v>
      </c>
      <c r="C15" s="12" t="s">
        <v>2272</v>
      </c>
      <c r="D15" s="12" t="s">
        <v>2273</v>
      </c>
      <c r="E15" s="12" t="s">
        <v>2274</v>
      </c>
      <c r="F15" s="12" t="s">
        <v>2228</v>
      </c>
      <c r="G15" s="12" t="s">
        <v>2229</v>
      </c>
      <c r="H15" s="19"/>
      <c r="I15" s="19"/>
    </row>
  </sheetData>
  <mergeCells count="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2026-10-21T18:28:07Z</dcterms:created>
  <dc:creator>openpyxl</dc:creator>
  <dc:description/>
  <dc:language>en-US</dc:language>
  <cp:lastModifiedBy/>
  <dcterms:modified xsi:type="dcterms:W3CDTF">2026-10-21T18:28:13Z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