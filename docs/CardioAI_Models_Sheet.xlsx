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Endpoints" sheetId="2" state="visible" r:id="rId4"/>
    <sheet name="Inputs" sheetId="3" state="visible" r:id="rId5"/>
    <sheet name="Outputs" sheetId="4" state="visible" r:id="rId6"/>
    <sheet name="Auto-labelling" sheetId="5" state="visible" r:id="rId7"/>
    <sheet name="Annotation" sheetId="6" state="visible" r:id="rId8"/>
    <sheet name="Automatic audit" sheetId="7" state="visible" r:id="rId9"/>
    <sheet name="Release gates" sheetId="8" state="visible" r:id="rId10"/>
    <sheet name="Demo validation" sheetId="9" state="visible" r:id="rId11"/>
  </sheets>
  <definedNames>
    <definedName function="false" hidden="true" localSheetId="5" name="_xlnm._FilterDatabase" vbProcedure="false">Annotation!$A$2:$D$17</definedName>
    <definedName function="false" hidden="true" localSheetId="4" name="_xlnm._FilterDatabase" vbProcedure="false">'Auto-labelling'!$A$2:$F$42</definedName>
    <definedName function="false" hidden="true" localSheetId="6" name="_xlnm._FilterDatabase" vbProcedure="false">'Automatic audit'!$A$2:$E$24</definedName>
    <definedName function="false" hidden="true" localSheetId="8" name="_xlnm._FilterDatabase" vbProcedure="false">'Demo validation'!$A$2:$L$32</definedName>
    <definedName function="false" hidden="true" localSheetId="1" name="_xlnm._FilterDatabase" vbProcedure="false">Endpoints!$A$2:$I$12</definedName>
    <definedName function="false" hidden="true" localSheetId="2" name="_xlnm._FilterDatabase" vbProcedure="false">Inputs!$A$2:$N$35</definedName>
    <definedName function="false" hidden="true" localSheetId="3" name="_xlnm._FilterDatabase" vbProcedure="false">Outputs!$A$2:$E$43</definedName>
    <definedName function="false" hidden="true" localSheetId="7" name="_xlnm._FilterDatabase" vbProcedure="false">'Release gates'!$A$2:$D$12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<sst xmlns="http://schemas.openxmlformats.org/spreadsheetml/2006/main" count="1280" uniqueCount="529">
  <si>
    <t xml:space="preserve">CardioAI CVD Risk Calculators — Models Sheet</t>
  </si>
  <si>
    <t xml:space="preserve">Generated from the repository code (cardioai_core/schema.py, training/labeling.py, training/audit.py, curation/governance.py). Counts in columns G–H are live formulas over the Inputs and Auto-labelling tabs.</t>
  </si>
  <si>
    <t xml:space="preserve">Calculator</t>
  </si>
  <si>
    <t xml:space="preserve">Target C-statistic</t>
  </si>
  <si>
    <t xml:space="preserve">Primary endpoint</t>
  </si>
  <si>
    <t xml:space="preserve">Secondary endpoints</t>
  </si>
  <si>
    <t xml:space="preserve">Horizons</t>
  </si>
  <si>
    <t xml:space="preserve">Population / eligibility</t>
  </si>
  <si>
    <t xml:space="preserve">Inputs used</t>
  </si>
  <si>
    <t xml:space="preserve">Labelling functions</t>
  </si>
  <si>
    <t xml:space="preserve">Published comparators</t>
  </si>
  <si>
    <t xml:space="preserve">Model</t>
  </si>
  <si>
    <t xml:space="preserve">Acute Myocardial Infarction (AMI)</t>
  </si>
  <si>
    <t xml:space="preserve">Acute myocardial infarction (5-year)</t>
  </si>
  <si>
    <t xml:space="preserve">—</t>
  </si>
  <si>
    <t xml:space="preserve">30 days, 1 year, 5 years</t>
  </si>
  <si>
    <t xml:space="preserve">Primary and secondary prevention populations. Adults 18–90 at a landmark outpatient visit with a lipid result in the prior year, 2012–2019.</t>
  </si>
  <si>
    <t xml:space="preserve">Pooled Cohort Equations (2013 ACC/AHA)</t>
  </si>
  <si>
    <t xml:space="preserve">Calibrated HistGradientBoosting per endpoint × horizon (isotonic/sigmoid, 3-fold)</t>
  </si>
  <si>
    <t xml:space="preserve">Stroke Risk</t>
  </si>
  <si>
    <t xml:space="preserve">Any stroke or TIA (5-year)</t>
  </si>
  <si>
    <t xml:space="preserve">Ischemic stroke; Hemorrhagic stroke; Transient ischemic attack</t>
  </si>
  <si>
    <t xml:space="preserve">Includes AF-stroke and hemorrhagic stroke models. Adults 18–90 at a landmark outpatient visit with a lipid result in the prior year, 2012–2019.</t>
  </si>
  <si>
    <t xml:space="preserve">CHA₂DS₂-VASc; Pooled Cohort Equations (2013 ACC/AHA)</t>
  </si>
  <si>
    <t xml:space="preserve">Heart Failure</t>
  </si>
  <si>
    <t xml:space="preserve">Heart failure hospitalization / diagnosis (5-year)</t>
  </si>
  <si>
    <t xml:space="preserve">HFrEF; HFpEF</t>
  </si>
  <si>
    <t xml:space="preserve">Separate models for HFrEF and HFpEF. Adults 18–90 at a landmark outpatient visit with a lipid result in the prior year, 2012–2019.</t>
  </si>
  <si>
    <t xml:space="preserve">Sudden Cardiac Death (SCD)</t>
  </si>
  <si>
    <t xml:space="preserve">Cardiac arrest / VF / sustained VT (5-year)</t>
  </si>
  <si>
    <t xml:space="preserve">Guides ICD placement decisions. Adults 18–90 at a landmark outpatient visit with a lipid result in the prior year, 2012–2019.</t>
  </si>
  <si>
    <t xml:space="preserve">ACC/AHA/HRS primary-prevention ICD criteria (screen)</t>
  </si>
  <si>
    <t xml:space="preserve">Atrial Fibrillation</t>
  </si>
  <si>
    <t xml:space="preserve">New-onset atrial fibrillation / flutter (5-year)</t>
  </si>
  <si>
    <t xml:space="preserve">Enables targeted screening and early intervention. Excludes patients with AF before index. Adults 18–90 at a landmark outpatient visit with a lipid result in the prior year, 2012–2019.</t>
  </si>
  <si>
    <t xml:space="preserve">CHARGE-AF (simple model)</t>
  </si>
  <si>
    <t xml:space="preserve">Primary = the headline risk each calculator shows; secondary = other endpoints the same calculator reports. Codes only create candidates; whether a candidate is an event is decided by auto-labelling and cardiologist adjudication.</t>
  </si>
  <si>
    <t xml:space="preserve">Endpoint id</t>
  </si>
  <si>
    <t xml:space="preserve">Role</t>
  </si>
  <si>
    <t xml:space="preserve">Endpoint</t>
  </si>
  <si>
    <t xml:space="preserve">Definition (adjudication standard)</t>
  </si>
  <si>
    <t xml:space="preserve">Candidate diagnosis codes</t>
  </si>
  <si>
    <t xml:space="preserve">What counts as an event</t>
  </si>
  <si>
    <t xml:space="preserve">Headline horizon</t>
  </si>
  <si>
    <t xml:space="preserve">AMI</t>
  </si>
  <si>
    <t xml:space="preserve">ami</t>
  </si>
  <si>
    <t xml:space="preserve">Primary</t>
  </si>
  <si>
    <t xml:space="preserve">Acute myocardial infarction</t>
  </si>
  <si>
    <t xml:space="preserve">Fourth Universal Definition of Myocardial Infarction (Thygesen K et al., Circulation 2018)</t>
  </si>
  <si>
    <t xml:space="preserve">ICD-10: I21, I22
ICD-9: 410</t>
  </si>
  <si>
    <t xml:space="preserve">Confirmed STEMI, NSTEMI or unspecified MI. Type 2 MI excluded (governance ami_include_type2 = false)</t>
  </si>
  <si>
    <t xml:space="preserve">30d, 1y, 5y</t>
  </si>
  <si>
    <t xml:space="preserve">5y</t>
  </si>
  <si>
    <t xml:space="preserve">Stroke</t>
  </si>
  <si>
    <t xml:space="preserve">any_stroke</t>
  </si>
  <si>
    <t xml:space="preserve">Any stroke or TIA</t>
  </si>
  <si>
    <t xml:space="preserve">AHA/ASA updated definition of stroke (Sacco RL et al., Stroke 2013)</t>
  </si>
  <si>
    <t xml:space="preserve">ICD-10: I6[0-3], G45\.[0-389]
ICD-9: 43[0-2], 433\.\d1, 434\.\d1, 435, 436</t>
  </si>
  <si>
    <t xml:space="preserve">Any confirmed stroke / tia event, any subtype</t>
  </si>
  <si>
    <t xml:space="preserve">ischemic_stroke</t>
  </si>
  <si>
    <t xml:space="preserve">Secondary</t>
  </si>
  <si>
    <t xml:space="preserve">Ischemic stroke</t>
  </si>
  <si>
    <t xml:space="preserve">Confirmed stroke event with subtype ischemic; hemorrhagic, tia = known non-event; other/unknown subtype = unresolved</t>
  </si>
  <si>
    <t xml:space="preserve">hemorrhagic_stroke</t>
  </si>
  <si>
    <t xml:space="preserve">Hemorrhagic stroke</t>
  </si>
  <si>
    <t xml:space="preserve">Confirmed stroke event with subtype hemorrhagic; ischemic, tia = known non-event; other/unknown subtype = unresolved</t>
  </si>
  <si>
    <t xml:space="preserve">tia</t>
  </si>
  <si>
    <t xml:space="preserve">Transient ischemic attack</t>
  </si>
  <si>
    <t xml:space="preserve">Confirmed stroke event with subtype tia; hemorrhagic, ischemic = known non-event; other/unknown subtype = unresolved</t>
  </si>
  <si>
    <t xml:space="preserve">Heart failure</t>
  </si>
  <si>
    <t xml:space="preserve">hf</t>
  </si>
  <si>
    <t xml:space="preserve">Heart failure hospitalization / diagnosis</t>
  </si>
  <si>
    <t xml:space="preserve">Universal Definition of Heart Failure (Bozkurt B et al., J Card Fail 2021)</t>
  </si>
  <si>
    <t xml:space="preserve">ICD-10: I50, I11\.0, I13\.0, I13\.2
ICD-9: 428, 402\.\d1, 404\.\d[13]</t>
  </si>
  <si>
    <t xml:space="preserve">Any confirmed heart failure event, any subtype</t>
  </si>
  <si>
    <t xml:space="preserve">hfref</t>
  </si>
  <si>
    <t xml:space="preserve">HFrEF</t>
  </si>
  <si>
    <t xml:space="preserve">Confirmed hf event with subtype hfref; hfmref, hfpef = known non-event; other/unknown subtype = unresolved</t>
  </si>
  <si>
    <t xml:space="preserve">hfpef</t>
  </si>
  <si>
    <t xml:space="preserve">HFpEF</t>
  </si>
  <si>
    <t xml:space="preserve">Confirmed hf event with subtype hfpef; hfmref, hfref = known non-event; other/unknown subtype = unresolved</t>
  </si>
  <si>
    <t xml:space="preserve">SCD</t>
  </si>
  <si>
    <t xml:space="preserve">scd</t>
  </si>
  <si>
    <t xml:space="preserve">Cardiac arrest / VF / sustained VT</t>
  </si>
  <si>
    <t xml:space="preserve">2017 AHA/ACC/HRS Ventricular Arrhythmia and SCD Guideline definitions</t>
  </si>
  <si>
    <t xml:space="preserve">ICD-10: I46, I49\.0, I47\.2
ICD-9: 427\.5, 427\.4, 427\.1</t>
  </si>
  <si>
    <t xml:space="preserve">Any confirmed sudden cardiac arrest / ventricular arrhythmia event, any subtype</t>
  </si>
  <si>
    <t xml:space="preserve">AF</t>
  </si>
  <si>
    <t xml:space="preserve">af</t>
  </si>
  <si>
    <t xml:space="preserve">New-onset atrial fibrillation / flutter</t>
  </si>
  <si>
    <t xml:space="preserve">2023 ACC/AHA/ACCP/HRS AF Guideline: ECG-documented AF ≥30 s</t>
  </si>
  <si>
    <t xml:space="preserve">ICD-10: I48
ICD-9: 427\.3</t>
  </si>
  <si>
    <t xml:space="preserve">Confirmed new AF or flutter. Post-operative AF excluded (af_exclude_postoperative = true); patients with AF before index not eligible</t>
  </si>
  <si>
    <t xml:space="preserve">Inputs entered in the Render app and extracted the same way from OMOP for training. Missing optional values are handled natively by the models. Y = shown on that calculator's form.</t>
  </si>
  <si>
    <t xml:space="preserve">Input key</t>
  </si>
  <si>
    <t xml:space="preserve">Label</t>
  </si>
  <si>
    <t xml:space="preserve">Unit</t>
  </si>
  <si>
    <t xml:space="preserve">Type</t>
  </si>
  <si>
    <t xml:space="preserve">Allowed range / options</t>
  </si>
  <si>
    <t xml:space="preserve">Required</t>
  </si>
  <si>
    <t xml:space="preserve">Section</t>
  </si>
  <si>
    <t xml:space="preserve">HF</t>
  </si>
  <si>
    <t xml:space="preserve">Model features derived</t>
  </si>
  <si>
    <t xml:space="preserve">Source on Mayo Clinic Platform (training)</t>
  </si>
  <si>
    <t xml:space="preserve">age</t>
  </si>
  <si>
    <t xml:space="preserve">Age</t>
  </si>
  <si>
    <t xml:space="preserve">years</t>
  </si>
  <si>
    <t xml:space="preserve">number</t>
  </si>
  <si>
    <t xml:space="preserve">18–100</t>
  </si>
  <si>
    <t xml:space="preserve">Yes</t>
  </si>
  <si>
    <t xml:space="preserve">Demographics</t>
  </si>
  <si>
    <t xml:space="preserve">Y</t>
  </si>
  <si>
    <t xml:space="preserve">OMOP person (birth date, gender, race, ethnicity; Hispanic ethnicity → hispanic)</t>
  </si>
  <si>
    <t xml:space="preserve">sex</t>
  </si>
  <si>
    <t xml:space="preserve">Sex</t>
  </si>
  <si>
    <t xml:space="preserve">select</t>
  </si>
  <si>
    <t xml:space="preserve">male, female</t>
  </si>
  <si>
    <t xml:space="preserve">sex_male</t>
  </si>
  <si>
    <t xml:space="preserve">race</t>
  </si>
  <si>
    <t xml:space="preserve">Race/Ethnicity</t>
  </si>
  <si>
    <t xml:space="preserve">white, black, hispanic, asian, other</t>
  </si>
  <si>
    <t xml:space="preserve">race_black, race_hispanic, race_asian, race_other</t>
  </si>
  <si>
    <t xml:space="preserve">height_cm</t>
  </si>
  <si>
    <t xml:space="preserve">Height</t>
  </si>
  <si>
    <t xml:space="preserve">cm</t>
  </si>
  <si>
    <t xml:space="preserve">120–220</t>
  </si>
  <si>
    <t xml:space="preserve">No</t>
  </si>
  <si>
    <t xml:space="preserve">height_cm, bmi</t>
  </si>
  <si>
    <t xml:space="preserve">OMOP measurement, LOINC 8302-2, 3137-7; latest value ≤730 d before index</t>
  </si>
  <si>
    <t xml:space="preserve">weight_kg</t>
  </si>
  <si>
    <t xml:space="preserve">Weight</t>
  </si>
  <si>
    <t xml:space="preserve">kg</t>
  </si>
  <si>
    <t xml:space="preserve">30–300</t>
  </si>
  <si>
    <t xml:space="preserve">weight_kg, bmi</t>
  </si>
  <si>
    <t xml:space="preserve">OMOP measurement, LOINC 29463-7, 3141-9; latest value ≤730 d before index</t>
  </si>
  <si>
    <t xml:space="preserve">prior_mi</t>
  </si>
  <si>
    <t xml:space="preserve">Prior MI</t>
  </si>
  <si>
    <t xml:space="preserve">bool</t>
  </si>
  <si>
    <t xml:space="preserve">yes / no</t>
  </si>
  <si>
    <t xml:space="preserve">Clinical history</t>
  </si>
  <si>
    <t xml:space="preserve">OMOP condition_occurrence / observation on or before index: ICD-10 I21, I22, I25\.2; ICD-9 410, 412</t>
  </si>
  <si>
    <t xml:space="preserve">prior_stroke</t>
  </si>
  <si>
    <t xml:space="preserve">Prior Stroke/TIA</t>
  </si>
  <si>
    <t xml:space="preserve">OMOP condition_occurrence / observation on or before index: ICD-10 I6[0-3], G45, Z86\.73; ICD-9 43[0-6], V12\.54</t>
  </si>
  <si>
    <t xml:space="preserve">angina</t>
  </si>
  <si>
    <t xml:space="preserve">Angina</t>
  </si>
  <si>
    <t xml:space="preserve">OMOP condition_occurrence / observation on or before index: ICD-10 I20; ICD-9 413</t>
  </si>
  <si>
    <t xml:space="preserve">heart_failure</t>
  </si>
  <si>
    <t xml:space="preserve">OMOP condition_occurrence / observation on or before index: ICD-10 I50, I11\.0, I13\.0, I13\.2; ICD-9 428</t>
  </si>
  <si>
    <t xml:space="preserve">afib</t>
  </si>
  <si>
    <t xml:space="preserve">OMOP condition_occurrence / observation on or before index: ICD-10 I48; ICD-9 427\.3</t>
  </si>
  <si>
    <t xml:space="preserve">family_hx_cad</t>
  </si>
  <si>
    <t xml:space="preserve">Family History CAD</t>
  </si>
  <si>
    <t xml:space="preserve">OMOP condition_occurrence / observation on or before index: ICD-10 Z82\.49; ICD-9 V17\.3</t>
  </si>
  <si>
    <t xml:space="preserve">hypertension</t>
  </si>
  <si>
    <t xml:space="preserve">Hypertension diagnosis</t>
  </si>
  <si>
    <t xml:space="preserve">OMOP condition_occurrence / observation on or before index: ICD-10 I1[0-6]; ICD-9 40[1-5]</t>
  </si>
  <si>
    <t xml:space="preserve">pad</t>
  </si>
  <si>
    <t xml:space="preserve">Peripheral artery disease</t>
  </si>
  <si>
    <t xml:space="preserve">OMOP condition_occurrence / observation on or before index: ICD-10 I70\.2, I73\.9; ICD-9 440\.2, 443\.9</t>
  </si>
  <si>
    <t xml:space="preserve">sbp</t>
  </si>
  <si>
    <t xml:space="preserve">Systolic BP</t>
  </si>
  <si>
    <t xml:space="preserve">mmHg</t>
  </si>
  <si>
    <t xml:space="preserve">70–250</t>
  </si>
  <si>
    <t xml:space="preserve">Risk factors</t>
  </si>
  <si>
    <t xml:space="preserve">OMOP measurement, LOINC 8480-6, 8459-0; latest value ≤730 d before index</t>
  </si>
  <si>
    <t xml:space="preserve">dbp</t>
  </si>
  <si>
    <t xml:space="preserve">Diastolic BP</t>
  </si>
  <si>
    <t xml:space="preserve">40–150</t>
  </si>
  <si>
    <t xml:space="preserve">OMOP measurement, LOINC 8462-4, 8453-3; latest value ≤730 d before index</t>
  </si>
  <si>
    <t xml:space="preserve">smoking</t>
  </si>
  <si>
    <t xml:space="preserve">Smoking Status</t>
  </si>
  <si>
    <t xml:space="preserve">never, former, current</t>
  </si>
  <si>
    <t xml:space="preserve">smoking_former, smoking_current</t>
  </si>
  <si>
    <t xml:space="preserve">Diagnosis codes: current = F17.2/Z72.0 within 730 d; former = Z87.891 / older current codes</t>
  </si>
  <si>
    <t xml:space="preserve">diabetes</t>
  </si>
  <si>
    <t xml:space="preserve">Diabetes Status</t>
  </si>
  <si>
    <t xml:space="preserve">none, prediabetes, type1, type2</t>
  </si>
  <si>
    <t xml:space="preserve">diabetes_pre, diabetes_t1, diabetes_t2</t>
  </si>
  <si>
    <t xml:space="preserve">E11 → type 2, E10 → type 1, R73.0 or HbA1c 5.7–6.4% → prediabetes; HbA1c ≥6.5% → type 2</t>
  </si>
  <si>
    <t xml:space="preserve">total_chol</t>
  </si>
  <si>
    <t xml:space="preserve">Total Cholesterol</t>
  </si>
  <si>
    <t xml:space="preserve">mg/dL</t>
  </si>
  <si>
    <t xml:space="preserve">80–400</t>
  </si>
  <si>
    <t xml:space="preserve">Laboratory</t>
  </si>
  <si>
    <t xml:space="preserve">total_chol, non_hdl</t>
  </si>
  <si>
    <t xml:space="preserve">OMOP measurement, LOINC 2093-3; latest value ≤730 d before index</t>
  </si>
  <si>
    <t xml:space="preserve">hdl</t>
  </si>
  <si>
    <t xml:space="preserve">HDL Cholesterol</t>
  </si>
  <si>
    <t xml:space="preserve">15–120</t>
  </si>
  <si>
    <t xml:space="preserve">hdl, non_hdl</t>
  </si>
  <si>
    <t xml:space="preserve">OMOP measurement, LOINC 2085-8; latest value ≤730 d before index</t>
  </si>
  <si>
    <t xml:space="preserve">ldl</t>
  </si>
  <si>
    <t xml:space="preserve">LDL Cholesterol</t>
  </si>
  <si>
    <t xml:space="preserve">20–300</t>
  </si>
  <si>
    <t xml:space="preserve">OMOP measurement, LOINC 13457-7, 18262-6, 2089-1; latest value ≤730 d before index</t>
  </si>
  <si>
    <t xml:space="preserve">trig</t>
  </si>
  <si>
    <t xml:space="preserve">Triglycerides</t>
  </si>
  <si>
    <t xml:space="preserve">20–1500</t>
  </si>
  <si>
    <t xml:space="preserve">OMOP measurement, LOINC 2571-8; latest value ≤730 d before index</t>
  </si>
  <si>
    <t xml:space="preserve">glucose</t>
  </si>
  <si>
    <t xml:space="preserve">Fasting Glucose</t>
  </si>
  <si>
    <t xml:space="preserve">40–500</t>
  </si>
  <si>
    <t xml:space="preserve">OMOP measurement, LOINC 1558-6, 2345-7; latest value ≤730 d before index</t>
  </si>
  <si>
    <t xml:space="preserve">hba1c</t>
  </si>
  <si>
    <t xml:space="preserve">HbA1c</t>
  </si>
  <si>
    <t xml:space="preserve">%</t>
  </si>
  <si>
    <t xml:space="preserve">3–18</t>
  </si>
  <si>
    <t xml:space="preserve">OMOP measurement, LOINC 4548-4, 17856-6; latest value ≤730 d before index</t>
  </si>
  <si>
    <t xml:space="preserve">hscrp</t>
  </si>
  <si>
    <t xml:space="preserve">hs-CRP</t>
  </si>
  <si>
    <t xml:space="preserve">mg/L</t>
  </si>
  <si>
    <t xml:space="preserve">0–50</t>
  </si>
  <si>
    <t xml:space="preserve">OMOP measurement, LOINC 30522-7, 1988-5; latest value ≤730 d before index</t>
  </si>
  <si>
    <t xml:space="preserve">egfr</t>
  </si>
  <si>
    <t xml:space="preserve">eGFR</t>
  </si>
  <si>
    <t xml:space="preserve">mL/min/1.73m²</t>
  </si>
  <si>
    <t xml:space="preserve">5–150</t>
  </si>
  <si>
    <t xml:space="preserve">OMOP measurement, LOINC 33914-3, 62238-1, 98979-8, 48642-3, 48643-1; latest value ≤730 d before index</t>
  </si>
  <si>
    <t xml:space="preserve">cac_score</t>
  </si>
  <si>
    <t xml:space="preserve">Coronary artery calcium (Agatston)</t>
  </si>
  <si>
    <t xml:space="preserve">AU</t>
  </si>
  <si>
    <t xml:space="preserve">0–5000</t>
  </si>
  <si>
    <t xml:space="preserve">Imaging</t>
  </si>
  <si>
    <t xml:space="preserve">N</t>
  </si>
  <si>
    <t xml:space="preserve">cac_score_log</t>
  </si>
  <si>
    <t xml:space="preserve">NLP of radiology reports (OMOP note = FACT_RADIOLOGY report) ≤730 d before index</t>
  </si>
  <si>
    <t xml:space="preserve">lvef</t>
  </si>
  <si>
    <t xml:space="preserve">LV ejection fraction</t>
  </si>
  <si>
    <t xml:space="preserve">5–85</t>
  </si>
  <si>
    <t xml:space="preserve">NLP of echo notes (FACT_ECHO_TEST.ECHO_NOTE) and imaging reports ≤730 d before index</t>
  </si>
  <si>
    <t xml:space="preserve">statin</t>
  </si>
  <si>
    <t xml:space="preserve">Statin</t>
  </si>
  <si>
    <t xml:space="preserve">Medications</t>
  </si>
  <si>
    <t xml:space="preserve">OMOP drug_exposure ≤365 d before index; ATC C10AA, C10BA, C10BX</t>
  </si>
  <si>
    <t xml:space="preserve">aspirin</t>
  </si>
  <si>
    <t xml:space="preserve">Aspirin</t>
  </si>
  <si>
    <t xml:space="preserve">OMOP drug_exposure ≤365 d before index; ATC B01AC06</t>
  </si>
  <si>
    <t xml:space="preserve">acei_arb</t>
  </si>
  <si>
    <t xml:space="preserve">ACE-I/ARB</t>
  </si>
  <si>
    <t xml:space="preserve">OMOP drug_exposure ≤365 d before index; ATC C09</t>
  </si>
  <si>
    <t xml:space="preserve">beta_blocker</t>
  </si>
  <si>
    <t xml:space="preserve">Beta Blocker</t>
  </si>
  <si>
    <t xml:space="preserve">OMOP drug_exposure ≤365 d before index; ATC C07</t>
  </si>
  <si>
    <t xml:space="preserve">anticoagulant</t>
  </si>
  <si>
    <t xml:space="preserve">Anticoagulant</t>
  </si>
  <si>
    <t xml:space="preserve">OMOP drug_exposure ≤365 d before index; ATC B01AA, B01AE, B01AF</t>
  </si>
  <si>
    <t xml:space="preserve">antihypertensive</t>
  </si>
  <si>
    <t xml:space="preserve">Any antihypertensive</t>
  </si>
  <si>
    <t xml:space="preserve">OMOP drug_exposure ≤365 d before index; ATC C02, C03, C07, C08, C09</t>
  </si>
  <si>
    <t xml:space="preserve">What the Render app returns for each calculation (POST /api/predict).</t>
  </si>
  <si>
    <t xml:space="preserve">Output</t>
  </si>
  <si>
    <t xml:space="preserve">Description</t>
  </si>
  <si>
    <t xml:space="preserve">Form</t>
  </si>
  <si>
    <t xml:space="preserve">Produced by</t>
  </si>
  <si>
    <t xml:space="preserve">Primary risk</t>
  </si>
  <si>
    <t xml:space="preserve">5-year probability of acute myocardial infarction (falls back to 1-year / 30-day if no 5-year model)</t>
  </si>
  <si>
    <t xml:space="preserve">0–100 %</t>
  </si>
  <si>
    <t xml:space="preserve">AI model (calibrated gradient boosting)</t>
  </si>
  <si>
    <t xml:space="preserve">Risk category</t>
  </si>
  <si>
    <t xml:space="preserve">Low &lt;5%, Moderate 5–10%, High 10–20%, Very high ≥20% of the 5-year risk (display bands, not treatment thresholds)</t>
  </si>
  <si>
    <t xml:space="preserve">category</t>
  </si>
  <si>
    <t xml:space="preserve">App rule</t>
  </si>
  <si>
    <t xml:space="preserve">Risk by horizon</t>
  </si>
  <si>
    <t xml:space="preserve">Probability for every endpoint × 30 days, 1 year, 5 years; cumulative risk never falls with a longer horizon</t>
  </si>
  <si>
    <t xml:space="preserve">table of %</t>
  </si>
  <si>
    <t xml:space="preserve">AI model</t>
  </si>
  <si>
    <t xml:space="preserve">Model performance</t>
  </si>
  <si>
    <t xml:space="preserve">Hold-out C-statistic with 95% CI, target, target met (CI lower bound ≥ target), calibration slope</t>
  </si>
  <si>
    <t xml:space="preserve">numbers</t>
  </si>
  <si>
    <t xml:space="preserve">Bundle manifest</t>
  </si>
  <si>
    <t xml:space="preserve">Risk drivers</t>
  </si>
  <si>
    <t xml:space="preserve">Top 8 factors: change in risk when each factor is set to the training cohort's typical value (percentage points)</t>
  </si>
  <si>
    <t xml:space="preserve">list</t>
  </si>
  <si>
    <t xml:space="preserve">Published equations</t>
  </si>
  <si>
    <t xml:space="preserve">% / score</t>
  </si>
  <si>
    <t xml:space="preserve">Clinical considerations</t>
  </si>
  <si>
    <t xml:space="preserve">Guideline-anchored notes (statin, BP, GDMT, anticoagulation, ICD screen) from published equations and measured values, never from the AI risk</t>
  </si>
  <si>
    <t xml:space="preserve">text</t>
  </si>
  <si>
    <t xml:space="preserve">App rules</t>
  </si>
  <si>
    <t xml:space="preserve">Provenance</t>
  </si>
  <si>
    <t xml:space="preserve">Model bundle id, training data source, number of patients, label governance (adjudicated cases, κ range, release id)</t>
  </si>
  <si>
    <t xml:space="preserve">5-year probability of any stroke or tia (falls back to 1-year / 30-day if no 5-year model)</t>
  </si>
  <si>
    <t xml:space="preserve">CHA₂DS₂-VASc, Pooled Cohort Equations (2013 ACC/AHA)</t>
  </si>
  <si>
    <t xml:space="preserve">5-year probability of heart failure hospitalization / diagnosis (falls back to 1-year / 30-day if no 5-year model)</t>
  </si>
  <si>
    <t xml:space="preserve">None for this calculator</t>
  </si>
  <si>
    <t xml:space="preserve">5-year probability of cardiac arrest / vf / sustained vt (falls back to 1-year / 30-day if no 5-year model)</t>
  </si>
  <si>
    <t xml:space="preserve">5-year probability of new-onset atrial fibrillation / flutter (falls back to 1-year / 30-day if no 5-year model)</t>
  </si>
  <si>
    <t xml:space="preserve">Not applicable</t>
  </si>
  <si>
    <t xml:space="preserve">Patient already has atrial fibrillation. The new-onset AF model does not apply; recurrence prediction needs rhythm-monitoring data that this form does not collect.</t>
  </si>
  <si>
    <t xml:space="preserve">Score = bias + Σ weights of votes → probability. ≥80% auto-confirmed, ≤20% auto-rejected, otherwise uncertain (sent to cardiologists). Expert-set starting weights (label model expert-v1); refit from adjudication with refit-label-model.</t>
  </si>
  <si>
    <t xml:space="preserve">Outcome family</t>
  </si>
  <si>
    <t xml:space="preserve">Labelling function</t>
  </si>
  <si>
    <t xml:space="preserve">Evidence it checks</t>
  </si>
  <si>
    <t xml:space="preserve">Weight when it supports (+)</t>
  </si>
  <si>
    <t xml:space="preserve">Weight when it opposes (−)</t>
  </si>
  <si>
    <t xml:space="preserve">Notes</t>
  </si>
  <si>
    <t xml:space="preserve">(bias)</t>
  </si>
  <si>
    <t xml:space="preserve">Starting log-odds before any evidence</t>
  </si>
  <si>
    <t xml:space="preserve">acute_visit</t>
  </si>
  <si>
    <t xml:space="preserve">Code recorded in an inpatient/ED visit (+) vs outpatient only (−)</t>
  </si>
  <si>
    <t xml:space="preserve">primary_dx</t>
  </si>
  <si>
    <t xml:space="preserve">Coded as primary/principal diagnosis</t>
  </si>
  <si>
    <t xml:space="preserve">no_dx_code</t>
  </si>
  <si>
    <t xml:space="preserve">Evidence-only candidate (no outcome diagnosis code)</t>
  </si>
  <si>
    <t xml:space="preserve">trop_rise_fall</t>
  </si>
  <si>
    <t xml:space="preserve">Troponin &gt;99th-pct URL with rise/fall ≥20%</t>
  </si>
  <si>
    <t xml:space="preserve">trop_elevated_flat</t>
  </si>
  <si>
    <t xml:space="preserve">Troponin elevated without documented rise/fall</t>
  </si>
  <si>
    <t xml:space="preserve">trop_normal</t>
  </si>
  <si>
    <t xml:space="preserve">Troponin measured and all values ≤ URL</t>
  </si>
  <si>
    <t xml:space="preserve">coronary_procedure</t>
  </si>
  <si>
    <t xml:space="preserve">Coronary angiography or PCI in window</t>
  </si>
  <si>
    <t xml:space="preserve">note_mi</t>
  </si>
  <si>
    <t xml:space="preserve">MI affirmed (+) / negated (−) in notes</t>
  </si>
  <si>
    <t xml:space="preserve">note_mi_historical</t>
  </si>
  <si>
    <t xml:space="preserve">MI mentioned only as history</t>
  </si>
  <si>
    <t xml:space="preserve">stroke</t>
  </si>
  <si>
    <t xml:space="preserve">neuroimaging</t>
  </si>
  <si>
    <t xml:space="preserve">Head CT/MRI in window (+); acute visit without imaging (−)</t>
  </si>
  <si>
    <t xml:space="preserve">img_infarct</t>
  </si>
  <si>
    <t xml:space="preserve">Acute infarct / restricted diffusion reported</t>
  </si>
  <si>
    <t xml:space="preserve">img_hemorrhage</t>
  </si>
  <si>
    <t xml:space="preserve">Acute intracranial hemorrhage reported</t>
  </si>
  <si>
    <t xml:space="preserve">img_negative</t>
  </si>
  <si>
    <t xml:space="preserve">'No acute intracranial abnormality' without infarct/hemorrhage</t>
  </si>
  <si>
    <t xml:space="preserve">note_stroke</t>
  </si>
  <si>
    <t xml:space="preserve">Stroke/TIA affirmed (+) / negated or history-only (−)</t>
  </si>
  <si>
    <t xml:space="preserve">reperfusion</t>
  </si>
  <si>
    <t xml:space="preserve">Thrombolysis or thrombectomy</t>
  </si>
  <si>
    <t xml:space="preserve">natriuretic_peptide</t>
  </si>
  <si>
    <t xml:space="preserve">BNP/NT-proBNP above rule-in (+) / all below rule-out (−)</t>
  </si>
  <si>
    <t xml:space="preserve">note_hf</t>
  </si>
  <si>
    <t xml:space="preserve">Acute/decompensated HF affirmed (+) / HF negated (−)</t>
  </si>
  <si>
    <t xml:space="preserve">echo</t>
  </si>
  <si>
    <t xml:space="preserve">Echocardiogram or LVEF reported in window</t>
  </si>
  <si>
    <t xml:space="preserve">resuscitation</t>
  </si>
  <si>
    <t xml:space="preserve">CPR or defibrillation in window</t>
  </si>
  <si>
    <t xml:space="preserve">note_arrest</t>
  </si>
  <si>
    <t xml:space="preserve">Arrest/VF/sustained VT/ROSC affirmed (+) / negated (−)</t>
  </si>
  <si>
    <t xml:space="preserve">note_nsvt</t>
  </si>
  <si>
    <t xml:space="preserve">Only non-sustained VT documented</t>
  </si>
  <si>
    <t xml:space="preserve">died_within_1d</t>
  </si>
  <si>
    <t xml:space="preserve">Death within 1 day</t>
  </si>
  <si>
    <t xml:space="preserve">repeat_af_codes</t>
  </si>
  <si>
    <t xml:space="preserve">AF coded on ≥2 dates within 1 year (+) / single outpatient code (−)</t>
  </si>
  <si>
    <t xml:space="preserve">note_af</t>
  </si>
  <si>
    <t xml:space="preserve">AF/flutter affirmed (+) / negated or only 'evaluate for' (−)</t>
  </si>
  <si>
    <t xml:space="preserve">cardioversion</t>
  </si>
  <si>
    <t xml:space="preserve">Cardioversion performed</t>
  </si>
  <si>
    <t xml:space="preserve">Automatic annotation: how candidate episodes, note context, subtypes and imaging values are derived.</t>
  </si>
  <si>
    <t xml:space="preserve">Rule</t>
  </si>
  <si>
    <t xml:space="preserve">Applies to</t>
  </si>
  <si>
    <t xml:space="preserve">Logic</t>
  </si>
  <si>
    <t xml:space="preserve">Evidence / file</t>
  </si>
  <si>
    <t xml:space="preserve">Episode building</t>
  </si>
  <si>
    <t xml:space="preserve">All outcomes</t>
  </si>
  <si>
    <t xml:space="preserve">Post-index outcome codes for one patient and family with ≤7 days between consecutive codes form one candidate episode; date = first code</t>
  </si>
  <si>
    <t xml:space="preserve">Codes</t>
  </si>
  <si>
    <t xml:space="preserve">Evidence-only candidates</t>
  </si>
  <si>
    <t xml:space="preserve">AMI, Stroke, SCD, AF</t>
  </si>
  <si>
    <t xml:space="preserve">PCI, thrombolysis/thrombectomy, CPR or cardioversion with no outcome code within 7 days creates a candidate (finds missed codes)</t>
  </si>
  <si>
    <t xml:space="preserve">Procedures</t>
  </si>
  <si>
    <t xml:space="preserve">Label relevance</t>
  </si>
  <si>
    <t xml:space="preserve">Candidates after a patient's first auto-confirmed (and definition-eligible) event cannot change a label and are not adjudicated</t>
  </si>
  <si>
    <t xml:space="preserve">Auto-labels</t>
  </si>
  <si>
    <t xml:space="preserve">Note context (NegEx-style)</t>
  </si>
  <si>
    <t xml:space="preserve">Each mention classed as affirmed, negated (no / ruled out / without …), historical (history of / prior / s/p) or hypothetical (rule out / evaluate for / possible)</t>
  </si>
  <si>
    <t xml:space="preserve">Notes, 45-character window</t>
  </si>
  <si>
    <t xml:space="preserve">Mention patterns</t>
  </si>
  <si>
    <t xml:space="preserve">ami: ami, nstemi, stemi, type2_mi; stroke: stroke, stroke_ischemic_img, stroke_hem_img, no_acute_intracranial; hf: hf_acute, hf_any; scd: arrest, nsvt, vf; af: af, flutter</t>
  </si>
  <si>
    <t xml:space="preserve">training/nlp.py</t>
  </si>
  <si>
    <t xml:space="preserve">Troponin kinetics</t>
  </si>
  <si>
    <t xml:space="preserve">Values normalised to ng/L; URL = range_high, else Mayo TRPS hs-TnT ≤15 (M) / ≤10 (F) ng/L; rise/fall = ≥20% change above URL, or Mayo rule ≥10 ng/L in 2 h / ≥12 ng/L in 6 h</t>
  </si>
  <si>
    <t xml:space="preserve">Labs −1 to +3 d</t>
  </si>
  <si>
    <t xml:space="preserve">Natriuretic peptides</t>
  </si>
  <si>
    <t xml:space="preserve">Rule-in BNP ≥100 or NT-proBNP ≥450/900/1800 pg/mL (age &lt;50 / 50–75 / &gt;75); rule-out BNP &lt;100 and NT-proBNP &lt;300</t>
  </si>
  <si>
    <t xml:space="preserve">Labs −2 to +3 d</t>
  </si>
  <si>
    <t xml:space="preserve">AMI subtype</t>
  </si>
  <si>
    <t xml:space="preserve">I21.A1 or 'type 2 MI / demand ischemia' → type 2; I21.0–I21.3 or STEMI → STEMI; I21.4 or NSTEMI → NSTEMI; else unspecified</t>
  </si>
  <si>
    <t xml:space="preserve">Codes + notes</t>
  </si>
  <si>
    <t xml:space="preserve">Stroke subtype</t>
  </si>
  <si>
    <t xml:space="preserve">Haemorrhage on imaging or I60–I62 → haemorrhagic; acute infarct or I63 → ischaemic; G45 → TIA; else unknown</t>
  </si>
  <si>
    <t xml:space="preserve">Codes + reports</t>
  </si>
  <si>
    <t xml:space="preserve">HF subtype</t>
  </si>
  <si>
    <t xml:space="preserve">LVEF from echo/imaging −7 to +30 d: ≤40% HFrEF, 41–49% HFmrEF, ≥50% HFpEF; else I50.2/I50.4 → HFrEF, I50.3 → HFpEF; else unknown</t>
  </si>
  <si>
    <t xml:space="preserve">Echo notes + codes</t>
  </si>
  <si>
    <t xml:space="preserve">SCD subtype</t>
  </si>
  <si>
    <t xml:space="preserve">VF mention or I49.01 → VF; I47.2 with arrest → sustained VT; I46 or arrest → arrest; else unknown</t>
  </si>
  <si>
    <t xml:space="preserve">AF subtype</t>
  </si>
  <si>
    <t xml:space="preserve">Cardiac surgery in the 30 days before → post-operative; flutter-only codes/mentions → flutter; else AF</t>
  </si>
  <si>
    <t xml:space="preserve">Procedures + codes + notes</t>
  </si>
  <si>
    <t xml:space="preserve">LVEF extraction (feature + annotation)</t>
  </si>
  <si>
    <t xml:space="preserve">HF, SCD, AF inputs</t>
  </si>
  <si>
    <t xml:space="preserve">'LVEF / ejection fraction … NN%' or 'NN percent'; ranges → midpoint; accepted 5–85%</t>
  </si>
  <si>
    <t xml:space="preserve">training/imaging_nlp.py</t>
  </si>
  <si>
    <t xml:space="preserve">Calcium score extraction</t>
  </si>
  <si>
    <t xml:space="preserve">AMI, Stroke, HF inputs</t>
  </si>
  <si>
    <t xml:space="preserve">'calcium score / Agatston … N', 'N Agatston', 'calcium … score N'; 'no coronary calcification' → 0; accepted 0–10,000</t>
  </si>
  <si>
    <t xml:space="preserve">Annotation verification</t>
  </si>
  <si>
    <t xml:space="preserve">LVEF, CAC</t>
  </si>
  <si>
    <t xml:space="preserve">100 reports (80% with an extracted value, 20% without) checked by a cardiologist; accuracy weighted by 1/sampling probability; gate ≥90%</t>
  </si>
  <si>
    <t xml:space="preserve">Workbench</t>
  </si>
  <si>
    <t xml:space="preserve">22 checks run on every label run (training/audit.py); thresholds from data/governance.json. Warnings must be acknowledged and failures waived with a written reason or fixed before adjudication.</t>
  </si>
  <si>
    <t xml:space="preserve">Check id</t>
  </si>
  <si>
    <t xml:space="preserve">Category</t>
  </si>
  <si>
    <t xml:space="preserve">What is checked</t>
  </si>
  <si>
    <t xml:space="preserve">Warn when</t>
  </si>
  <si>
    <t xml:space="preserve">Fail when</t>
  </si>
  <si>
    <t xml:space="preserve">schema</t>
  </si>
  <si>
    <t xml:space="preserve">Schema</t>
  </si>
  <si>
    <t xml:space="preserve">Required columns present in the features table</t>
  </si>
  <si>
    <t xml:space="preserve">any missing</t>
  </si>
  <si>
    <t xml:space="preserve">orphans</t>
  </si>
  <si>
    <t xml:space="preserve">Candidates for patients not in the cohort</t>
  </si>
  <si>
    <t xml:space="preserve">&gt; 0</t>
  </si>
  <si>
    <t xml:space="preserve">evidence_tables</t>
  </si>
  <si>
    <t xml:space="preserve">Labs, procedures and notes tables are non-empty</t>
  </si>
  <si>
    <t xml:space="preserve">any empty</t>
  </si>
  <si>
    <t xml:space="preserve">cohort_size</t>
  </si>
  <si>
    <t xml:space="preserve">Cohort</t>
  </si>
  <si>
    <t xml:space="preserve">Number of patients</t>
  </si>
  <si>
    <t xml:space="preserve">&lt; 1,000</t>
  </si>
  <si>
    <t xml:space="preserve">duplicates</t>
  </si>
  <si>
    <t xml:space="preserve">Duplicate patients</t>
  </si>
  <si>
    <t xml:space="preserve">age_range</t>
  </si>
  <si>
    <t xml:space="preserve">Age at index outside 18–90</t>
  </si>
  <si>
    <t xml:space="preserve">followup_negative</t>
  </si>
  <si>
    <t xml:space="preserve">Temporal</t>
  </si>
  <si>
    <t xml:space="preserve">Negative follow-up time</t>
  </si>
  <si>
    <t xml:space="preserve">followup_5y</t>
  </si>
  <si>
    <t xml:space="preserve">Share with ≥5 years follow-up or death</t>
  </si>
  <si>
    <t xml:space="preserve">&lt; 30%</t>
  </si>
  <si>
    <t xml:space="preserve">events_after_death</t>
  </si>
  <si>
    <t xml:space="preserve">Candidate events more than 1 day after recorded death</t>
  </si>
  <si>
    <t xml:space="preserve">&gt; 0.5% of candidates</t>
  </si>
  <si>
    <t xml:space="preserve">events_after_index</t>
  </si>
  <si>
    <t xml:space="preserve">Leakage</t>
  </si>
  <si>
    <t xml:space="preserve">Candidate events on or before the index date</t>
  </si>
  <si>
    <t xml:space="preserve">plausibility</t>
  </si>
  <si>
    <t xml:space="preserve">Data quality</t>
  </si>
  <si>
    <t xml:space="preserve">Share of values outside each input's clinical range (worst feature); cleared to missing in the release</t>
  </si>
  <si>
    <t xml:space="preserve">&gt; 0.1%</t>
  </si>
  <si>
    <t xml:space="preserve">&gt; 1%</t>
  </si>
  <si>
    <t xml:space="preserve">units</t>
  </si>
  <si>
    <t xml:space="preserve">Values suggesting unconverted units (metres/inches, pounds, mmol/L, mmol/mol)</t>
  </si>
  <si>
    <t xml:space="preserve">core_missing</t>
  </si>
  <si>
    <t xml:space="preserve">Missingness</t>
  </si>
  <si>
    <t xml:space="preserve">Age, sex, SBP, total cholesterol, HDL missing</t>
  </si>
  <si>
    <t xml:space="preserve">&gt; 5% for any</t>
  </si>
  <si>
    <t xml:space="preserve">missingness</t>
  </si>
  <si>
    <t xml:space="preserve">Other inputs with high missingness (CAC, LVEF, hs-CRP exempt)</t>
  </si>
  <si>
    <t xml:space="preserve">&gt; 60%</t>
  </si>
  <si>
    <t xml:space="preserve">missing_disparity</t>
  </si>
  <si>
    <t xml:space="preserve">Fairness</t>
  </si>
  <si>
    <t xml:space="preserve">Gap in missingness between sex or race groups (≥100 patients)</t>
  </si>
  <si>
    <t xml:space="preserve">&gt; 15% points</t>
  </si>
  <si>
    <t xml:space="preserve">representation</t>
  </si>
  <si>
    <t xml:space="preserve">Demographic subgroups below a minimum share of the cohort</t>
  </si>
  <si>
    <t xml:space="preserve">&lt; 1%</t>
  </si>
  <si>
    <t xml:space="preserve">uncertain_fraction</t>
  </si>
  <si>
    <t xml:space="preserve">Share of label-relevant candidates left uncertain, per outcome</t>
  </si>
  <si>
    <t xml:space="preserve">&gt; 40%</t>
  </si>
  <si>
    <t xml:space="preserve">lf_conflict</t>
  </si>
  <si>
    <t xml:space="preserve">Candidates where labelling functions vote both for and against</t>
  </si>
  <si>
    <t xml:space="preserve">&gt; 25%</t>
  </si>
  <si>
    <t xml:space="preserve">lf_coverage</t>
  </si>
  <si>
    <t xml:space="preserve">Labelling functions that never fire (missing evidence or codes)</t>
  </si>
  <si>
    <t xml:space="preserve">any</t>
  </si>
  <si>
    <t xml:space="preserve">prevalence</t>
  </si>
  <si>
    <t xml:space="preserve">5-year auto-confirmed incidence outside the expected range: ami 0.3%–8%; stroke 0.3%–8%; hf 0.5%–10%; scd 0.1%–2%; af 0.5%–12%</t>
  </si>
  <si>
    <t xml:space="preserve">outside range</t>
  </si>
  <si>
    <t xml:space="preserve">icd_drift</t>
  </si>
  <si>
    <t xml:space="preserve">Coding</t>
  </si>
  <si>
    <t xml:space="preserve">Candidate rate per 1,000 patient-years, ICD-10 era vs ICD-9 era (Oct 2015)</t>
  </si>
  <si>
    <t xml:space="preserve">ratio outside 0.67–1.5</t>
  </si>
  <si>
    <t xml:space="preserve">annotation_yield</t>
  </si>
  <si>
    <t xml:space="preserve">Annotation</t>
  </si>
  <si>
    <t xml:space="preserve">Reports mentioning LVEF/CAC where a value was extracted</t>
  </si>
  <si>
    <t xml:space="preserve">&lt; 90%</t>
  </si>
  <si>
    <t xml:space="preserve">Training on Mayo Clinic Platform data requires a release in which every gate passed or was waived.</t>
  </si>
  <si>
    <t xml:space="preserve">Gate</t>
  </si>
  <si>
    <t xml:space="preserve">Requirement</t>
  </si>
  <si>
    <t xml:space="preserve">Scope</t>
  </si>
  <si>
    <t xml:space="preserve">Who may waive</t>
  </si>
  <si>
    <t xml:space="preserve">Automatic audit resolved</t>
  </si>
  <si>
    <t xml:space="preserve">All warnings acknowledged, all failures waived (written reason) or fixed</t>
  </si>
  <si>
    <t xml:space="preserve">All</t>
  </si>
  <si>
    <t xml:space="preserve">Data scientist</t>
  </si>
  <si>
    <t xml:space="preserve">Dataset approved</t>
  </si>
  <si>
    <t xml:space="preserve">Data scientist approval; creates the adjudication sample</t>
  </si>
  <si>
    <t xml:space="preserve">All cases final</t>
  </si>
  <si>
    <t xml:space="preserve">No open reads or unresolved disagreements</t>
  </si>
  <si>
    <t xml:space="preserve">Inter-reader agreement</t>
  </si>
  <si>
    <t xml:space="preserve">Cohen's κ ≥ 0.6 on ≥10 double reads</t>
  </si>
  <si>
    <t xml:space="preserve">Per outcome</t>
  </si>
  <si>
    <t xml:space="preserve">Lead cardiologist</t>
  </si>
  <si>
    <t xml:space="preserve">PPV of auto-confirmed labels</t>
  </si>
  <si>
    <t xml:space="preserve">≥ 85% on 50 random cases</t>
  </si>
  <si>
    <t xml:space="preserve">NPV of auto-rejected labels</t>
  </si>
  <si>
    <t xml:space="preserve">Indeterminate cases</t>
  </si>
  <si>
    <t xml:space="preserve">≤ 15% of final cases</t>
  </si>
  <si>
    <t xml:space="preserve">LVEF / CAC extraction accuracy</t>
  </si>
  <si>
    <t xml:space="preserve">≥ 90% (weighted)</t>
  </si>
  <si>
    <t xml:space="preserve">Per field</t>
  </si>
  <si>
    <t xml:space="preserve">Audit trail intact</t>
  </si>
  <si>
    <t xml:space="preserve">Hash chain verifies end to end</t>
  </si>
  <si>
    <t xml:space="preserve">Cannot be waived</t>
  </si>
  <si>
    <t xml:space="preserve">Release sign-offs</t>
  </si>
  <si>
    <t xml:space="preserve">Data scientist + lead cardiologist, two different people</t>
  </si>
  <si>
    <t xml:space="preserve">SYNTHETIC DATA WITH SIMULATED ADJUDICATION: pipeline test only, not evidence of clinical performance. Real figures come from VALIDATION_REPORT.md after training on the Mayo Clinic Platform release. 'Meets target' = CI lower bound ≥ target.</t>
  </si>
  <si>
    <t xml:space="preserve">Horizon</t>
  </si>
  <si>
    <t xml:space="preserve">Hold-out C-statistic</t>
  </si>
  <si>
    <t xml:space="preserve">95% CI low</t>
  </si>
  <si>
    <t xml:space="preserve">95% CI high</t>
  </si>
  <si>
    <t xml:space="preserve">Target</t>
  </si>
  <si>
    <t xml:space="preserve">Meets target</t>
  </si>
  <si>
    <t xml:space="preserve">Calibration slope</t>
  </si>
  <si>
    <t xml:space="preserve">Expected / observed</t>
  </si>
  <si>
    <t xml:space="preserve">Test patients</t>
  </si>
  <si>
    <t xml:space="preserve">Test events / note</t>
  </si>
  <si>
    <t xml:space="preserve">30d</t>
  </si>
  <si>
    <t xml:space="preserve">1y</t>
  </si>
  <si>
    <t xml:space="preserve">insufficient events (train 52, test &lt;11)</t>
  </si>
  <si>
    <t xml:space="preserve">insufficient events (train 41, test &lt;11)</t>
  </si>
  <si>
    <t xml:space="preserve">insufficient events (train &lt;11, test &lt;11)</t>
  </si>
  <si>
    <t xml:space="preserve">insufficient events (train 28, test &lt;11)</t>
  </si>
  <si>
    <t xml:space="preserve">insufficient events (train 27, test &lt;11)</t>
  </si>
  <si>
    <t xml:space="preserve">insufficient events (train 14, test &lt;11)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</si>
</sst>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.000"/>
    <numFmt numFmtId="168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3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32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35.05" hidden="false" customHeight="false" outlineLevel="0" collapsed="false">
      <c r="A4" s="4" t="s">
        <v>12</v>
      </c>
      <c r="B4" s="5" t="n">
        <v>0.82</v>
      </c>
      <c r="C4" s="4" t="s">
        <v>13</v>
      </c>
      <c r="D4" s="4" t="s">
        <v>14</v>
      </c>
      <c r="E4" s="4" t="s">
        <v>15</v>
      </c>
      <c r="F4" s="4" t="s">
        <v>16</v>
      </c>
      <c r="G4" s="4" t="n">
        <f aca="false">COUNTIF(Inputs!H:H,"Y")</f>
        <v>32</v>
      </c>
      <c r="H4" s="4" t="n">
        <f aca="false">COUNTIFS('Auto-labelling'!A:A,"ami",'Auto-labelling'!B:B,"&lt;&gt;(bias)")</f>
        <v>9</v>
      </c>
      <c r="I4" s="4" t="s">
        <v>17</v>
      </c>
      <c r="J4" s="4" t="s">
        <v>18</v>
      </c>
    </row>
    <row r="5" customFormat="false" ht="35.05" hidden="false" customHeight="false" outlineLevel="0" collapsed="false">
      <c r="A5" s="4" t="s">
        <v>19</v>
      </c>
      <c r="B5" s="5" t="n">
        <v>0.75</v>
      </c>
      <c r="C5" s="4" t="s">
        <v>20</v>
      </c>
      <c r="D5" s="4" t="s">
        <v>21</v>
      </c>
      <c r="E5" s="4" t="s">
        <v>15</v>
      </c>
      <c r="F5" s="4" t="s">
        <v>22</v>
      </c>
      <c r="G5" s="4" t="n">
        <f aca="false">COUNTIF(Inputs!I:I,"Y")</f>
        <v>32</v>
      </c>
      <c r="H5" s="4" t="n">
        <f aca="false">COUNTIFS('Auto-labelling'!A:A,"stroke",'Auto-labelling'!B:B,"&lt;&gt;(bias)")</f>
        <v>9</v>
      </c>
      <c r="I5" s="4" t="s">
        <v>23</v>
      </c>
      <c r="J5" s="4" t="s">
        <v>18</v>
      </c>
    </row>
    <row r="6" customFormat="false" ht="35.05" hidden="false" customHeight="false" outlineLevel="0" collapsed="false">
      <c r="A6" s="4" t="s">
        <v>24</v>
      </c>
      <c r="B6" s="5" t="n">
        <v>0.8</v>
      </c>
      <c r="C6" s="4" t="s">
        <v>25</v>
      </c>
      <c r="D6" s="4" t="s">
        <v>26</v>
      </c>
      <c r="E6" s="4" t="s">
        <v>15</v>
      </c>
      <c r="F6" s="4" t="s">
        <v>27</v>
      </c>
      <c r="G6" s="4" t="n">
        <f aca="false">COUNTIF(Inputs!J:J,"Y")</f>
        <v>33</v>
      </c>
      <c r="H6" s="4" t="n">
        <f aca="false">COUNTIFS('Auto-labelling'!A:A,"hf",'Auto-labelling'!B:B,"&lt;&gt;(bias)")</f>
        <v>6</v>
      </c>
      <c r="I6" s="4" t="s">
        <v>14</v>
      </c>
      <c r="J6" s="4" t="s">
        <v>18</v>
      </c>
    </row>
    <row r="7" customFormat="false" ht="35.05" hidden="false" customHeight="false" outlineLevel="0" collapsed="false">
      <c r="A7" s="4" t="s">
        <v>28</v>
      </c>
      <c r="B7" s="5" t="n">
        <v>0.78</v>
      </c>
      <c r="C7" s="4" t="s">
        <v>29</v>
      </c>
      <c r="D7" s="4" t="s">
        <v>14</v>
      </c>
      <c r="E7" s="4" t="s">
        <v>15</v>
      </c>
      <c r="F7" s="4" t="s">
        <v>30</v>
      </c>
      <c r="G7" s="4" t="n">
        <f aca="false">COUNTIF(Inputs!K:K,"Y")</f>
        <v>32</v>
      </c>
      <c r="H7" s="4" t="n">
        <f aca="false">COUNTIFS('Auto-labelling'!A:A,"scd",'Auto-labelling'!B:B,"&lt;&gt;(bias)")</f>
        <v>7</v>
      </c>
      <c r="I7" s="4" t="s">
        <v>31</v>
      </c>
      <c r="J7" s="4" t="s">
        <v>18</v>
      </c>
    </row>
    <row r="8" customFormat="false" ht="46.25" hidden="false" customHeight="false" outlineLevel="0" collapsed="false">
      <c r="A8" s="4" t="s">
        <v>32</v>
      </c>
      <c r="B8" s="5" t="n">
        <v>0.8</v>
      </c>
      <c r="C8" s="4" t="s">
        <v>33</v>
      </c>
      <c r="D8" s="4" t="s">
        <v>14</v>
      </c>
      <c r="E8" s="4" t="s">
        <v>15</v>
      </c>
      <c r="F8" s="4" t="s">
        <v>34</v>
      </c>
      <c r="G8" s="4" t="n">
        <f aca="false">COUNTIF(Inputs!L:L,"Y")</f>
        <v>32</v>
      </c>
      <c r="H8" s="4" t="n">
        <f aca="false">COUNTIFS('Auto-labelling'!A:A,"af",'Auto-labelling'!B:B,"&lt;&gt;(bias)")</f>
        <v>4</v>
      </c>
      <c r="I8" s="4" t="s">
        <v>35</v>
      </c>
      <c r="J8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30" hidden="false" customHeight="true" outlineLevel="0" collapsed="false">
      <c r="A1" s="6" t="s">
        <v>36</v>
      </c>
      <c r="B1" s="6"/>
      <c r="C1" s="6"/>
      <c r="D1" s="6"/>
      <c r="E1" s="6"/>
      <c r="F1" s="6"/>
      <c r="G1" s="6"/>
      <c r="H1" s="6"/>
      <c r="I1" s="6"/>
    </row>
    <row r="2" customFormat="false" ht="35.05" hidden="false" customHeight="false" outlineLevel="0" collapsed="false">
      <c r="A2" s="3" t="s">
        <v>2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6</v>
      </c>
      <c r="I2" s="3" t="s">
        <v>43</v>
      </c>
    </row>
    <row r="3" customFormat="false" ht="23.85" hidden="false" customHeight="false" outlineLevel="0" collapsed="false">
      <c r="A3" s="4" t="s">
        <v>44</v>
      </c>
      <c r="B3" s="4" t="s">
        <v>45</v>
      </c>
      <c r="C3" s="4" t="s">
        <v>46</v>
      </c>
      <c r="D3" s="4" t="s">
        <v>47</v>
      </c>
      <c r="E3" s="4" t="s">
        <v>48</v>
      </c>
      <c r="F3" s="4" t="s">
        <v>49</v>
      </c>
      <c r="G3" s="4" t="s">
        <v>50</v>
      </c>
      <c r="H3" s="4" t="s">
        <v>51</v>
      </c>
      <c r="I3" s="4" t="s">
        <v>52</v>
      </c>
    </row>
    <row r="4" customFormat="false" ht="35.05" hidden="false" customHeight="false" outlineLevel="0" collapsed="false">
      <c r="A4" s="4" t="s">
        <v>53</v>
      </c>
      <c r="B4" s="4" t="s">
        <v>54</v>
      </c>
      <c r="C4" s="4" t="s">
        <v>46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51</v>
      </c>
      <c r="I4" s="4" t="s">
        <v>52</v>
      </c>
    </row>
    <row r="5" customFormat="false" ht="35.05" hidden="false" customHeight="false" outlineLevel="0" collapsed="false">
      <c r="A5" s="4" t="s">
        <v>53</v>
      </c>
      <c r="B5" s="4" t="s">
        <v>59</v>
      </c>
      <c r="C5" s="4" t="s">
        <v>60</v>
      </c>
      <c r="D5" s="4" t="s">
        <v>61</v>
      </c>
      <c r="E5" s="4" t="s">
        <v>56</v>
      </c>
      <c r="F5" s="4" t="s">
        <v>57</v>
      </c>
      <c r="G5" s="4" t="s">
        <v>62</v>
      </c>
      <c r="H5" s="4" t="s">
        <v>51</v>
      </c>
      <c r="I5" s="4" t="s">
        <v>14</v>
      </c>
    </row>
    <row r="6" customFormat="false" ht="35.05" hidden="false" customHeight="false" outlineLevel="0" collapsed="false">
      <c r="A6" s="4" t="s">
        <v>53</v>
      </c>
      <c r="B6" s="4" t="s">
        <v>63</v>
      </c>
      <c r="C6" s="4" t="s">
        <v>60</v>
      </c>
      <c r="D6" s="4" t="s">
        <v>64</v>
      </c>
      <c r="E6" s="4" t="s">
        <v>56</v>
      </c>
      <c r="F6" s="4" t="s">
        <v>57</v>
      </c>
      <c r="G6" s="4" t="s">
        <v>65</v>
      </c>
      <c r="H6" s="4" t="s">
        <v>51</v>
      </c>
      <c r="I6" s="4" t="s">
        <v>14</v>
      </c>
    </row>
    <row r="7" customFormat="false" ht="35.05" hidden="false" customHeight="false" outlineLevel="0" collapsed="false">
      <c r="A7" s="4" t="s">
        <v>53</v>
      </c>
      <c r="B7" s="4" t="s">
        <v>66</v>
      </c>
      <c r="C7" s="4" t="s">
        <v>60</v>
      </c>
      <c r="D7" s="4" t="s">
        <v>67</v>
      </c>
      <c r="E7" s="4" t="s">
        <v>56</v>
      </c>
      <c r="F7" s="4" t="s">
        <v>57</v>
      </c>
      <c r="G7" s="4" t="s">
        <v>68</v>
      </c>
      <c r="H7" s="4" t="s">
        <v>51</v>
      </c>
      <c r="I7" s="4" t="s">
        <v>14</v>
      </c>
    </row>
    <row r="8" customFormat="false" ht="23.85" hidden="false" customHeight="false" outlineLevel="0" collapsed="false">
      <c r="A8" s="4" t="s">
        <v>69</v>
      </c>
      <c r="B8" s="4" t="s">
        <v>70</v>
      </c>
      <c r="C8" s="4" t="s">
        <v>46</v>
      </c>
      <c r="D8" s="4" t="s">
        <v>71</v>
      </c>
      <c r="E8" s="4" t="s">
        <v>72</v>
      </c>
      <c r="F8" s="4" t="s">
        <v>73</v>
      </c>
      <c r="G8" s="4" t="s">
        <v>74</v>
      </c>
      <c r="H8" s="4" t="s">
        <v>51</v>
      </c>
      <c r="I8" s="4" t="s">
        <v>52</v>
      </c>
    </row>
    <row r="9" customFormat="false" ht="23.85" hidden="false" customHeight="false" outlineLevel="0" collapsed="false">
      <c r="A9" s="4" t="s">
        <v>69</v>
      </c>
      <c r="B9" s="4" t="s">
        <v>75</v>
      </c>
      <c r="C9" s="4" t="s">
        <v>60</v>
      </c>
      <c r="D9" s="4" t="s">
        <v>76</v>
      </c>
      <c r="E9" s="4" t="s">
        <v>72</v>
      </c>
      <c r="F9" s="4" t="s">
        <v>73</v>
      </c>
      <c r="G9" s="4" t="s">
        <v>77</v>
      </c>
      <c r="H9" s="4" t="s">
        <v>51</v>
      </c>
      <c r="I9" s="4" t="s">
        <v>14</v>
      </c>
    </row>
    <row r="10" customFormat="false" ht="23.85" hidden="false" customHeight="false" outlineLevel="0" collapsed="false">
      <c r="A10" s="4" t="s">
        <v>69</v>
      </c>
      <c r="B10" s="4" t="s">
        <v>78</v>
      </c>
      <c r="C10" s="4" t="s">
        <v>60</v>
      </c>
      <c r="D10" s="4" t="s">
        <v>79</v>
      </c>
      <c r="E10" s="4" t="s">
        <v>72</v>
      </c>
      <c r="F10" s="4" t="s">
        <v>73</v>
      </c>
      <c r="G10" s="4" t="s">
        <v>80</v>
      </c>
      <c r="H10" s="4" t="s">
        <v>51</v>
      </c>
      <c r="I10" s="4" t="s">
        <v>14</v>
      </c>
    </row>
    <row r="11" customFormat="false" ht="23.85" hidden="false" customHeight="false" outlineLevel="0" collapsed="false">
      <c r="A11" s="4" t="s">
        <v>81</v>
      </c>
      <c r="B11" s="4" t="s">
        <v>82</v>
      </c>
      <c r="C11" s="4" t="s">
        <v>46</v>
      </c>
      <c r="D11" s="4" t="s">
        <v>83</v>
      </c>
      <c r="E11" s="4" t="s">
        <v>84</v>
      </c>
      <c r="F11" s="4" t="s">
        <v>85</v>
      </c>
      <c r="G11" s="4" t="s">
        <v>86</v>
      </c>
      <c r="H11" s="4" t="s">
        <v>51</v>
      </c>
      <c r="I11" s="4" t="s">
        <v>52</v>
      </c>
    </row>
    <row r="12" customFormat="false" ht="35.05" hidden="false" customHeight="false" outlineLevel="0" collapsed="false">
      <c r="A12" s="4" t="s">
        <v>87</v>
      </c>
      <c r="B12" s="4" t="s">
        <v>88</v>
      </c>
      <c r="C12" s="4" t="s">
        <v>46</v>
      </c>
      <c r="D12" s="4" t="s">
        <v>89</v>
      </c>
      <c r="E12" s="4" t="s">
        <v>90</v>
      </c>
      <c r="F12" s="4" t="s">
        <v>91</v>
      </c>
      <c r="G12" s="4" t="s">
        <v>92</v>
      </c>
      <c r="H12" s="4" t="s">
        <v>51</v>
      </c>
      <c r="I12" s="4" t="s">
        <v>52</v>
      </c>
    </row>
  </sheetData>
  <autoFilter ref="A2:I1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6"/>
    <col collapsed="false" customWidth="true" hidden="false" outlineLevel="0" max="13" min="13" style="0" width="28"/>
    <col collapsed="false" customWidth="true" hidden="false" outlineLevel="0" max="14" min="14" style="0" width="60"/>
  </cols>
  <sheetData>
    <row r="1" customFormat="false" ht="30" hidden="false" customHeight="true" outlineLevel="0" collapsed="false">
      <c r="A1" s="6" t="s">
        <v>93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23.85" hidden="false" customHeight="false" outlineLevel="0" collapsed="false">
      <c r="A2" s="3" t="s">
        <v>94</v>
      </c>
      <c r="B2" s="3" t="s">
        <v>95</v>
      </c>
      <c r="C2" s="3" t="s">
        <v>96</v>
      </c>
      <c r="D2" s="3" t="s">
        <v>97</v>
      </c>
      <c r="E2" s="3" t="s">
        <v>98</v>
      </c>
      <c r="F2" s="3" t="s">
        <v>99</v>
      </c>
      <c r="G2" s="3" t="s">
        <v>100</v>
      </c>
      <c r="H2" s="3" t="s">
        <v>44</v>
      </c>
      <c r="I2" s="3" t="s">
        <v>53</v>
      </c>
      <c r="J2" s="3" t="s">
        <v>101</v>
      </c>
      <c r="K2" s="3" t="s">
        <v>81</v>
      </c>
      <c r="L2" s="3" t="s">
        <v>87</v>
      </c>
      <c r="M2" s="3" t="s">
        <v>102</v>
      </c>
      <c r="N2" s="3" t="s">
        <v>103</v>
      </c>
    </row>
    <row r="3" customFormat="false" ht="23.85" hidden="false" customHeight="false" outlineLevel="0" collapsed="false">
      <c r="A3" s="4" t="s">
        <v>104</v>
      </c>
      <c r="B3" s="4" t="s">
        <v>105</v>
      </c>
      <c r="C3" s="4" t="s">
        <v>106</v>
      </c>
      <c r="D3" s="4" t="s">
        <v>107</v>
      </c>
      <c r="E3" s="4" t="s">
        <v>108</v>
      </c>
      <c r="F3" s="4" t="s">
        <v>109</v>
      </c>
      <c r="G3" s="4" t="s">
        <v>110</v>
      </c>
      <c r="H3" s="4" t="s">
        <v>111</v>
      </c>
      <c r="I3" s="4" t="s">
        <v>111</v>
      </c>
      <c r="J3" s="4" t="s">
        <v>111</v>
      </c>
      <c r="K3" s="4" t="s">
        <v>111</v>
      </c>
      <c r="L3" s="4" t="s">
        <v>111</v>
      </c>
      <c r="M3" s="4" t="s">
        <v>104</v>
      </c>
      <c r="N3" s="4" t="s">
        <v>112</v>
      </c>
    </row>
    <row r="4" customFormat="false" ht="23.85" hidden="false" customHeight="false" outlineLevel="0" collapsed="false">
      <c r="A4" s="4" t="s">
        <v>113</v>
      </c>
      <c r="B4" s="4" t="s">
        <v>114</v>
      </c>
      <c r="C4" s="4"/>
      <c r="D4" s="4" t="s">
        <v>115</v>
      </c>
      <c r="E4" s="4" t="s">
        <v>116</v>
      </c>
      <c r="F4" s="4" t="s">
        <v>109</v>
      </c>
      <c r="G4" s="4" t="s">
        <v>110</v>
      </c>
      <c r="H4" s="4" t="s">
        <v>111</v>
      </c>
      <c r="I4" s="4" t="s">
        <v>111</v>
      </c>
      <c r="J4" s="4" t="s">
        <v>111</v>
      </c>
      <c r="K4" s="4" t="s">
        <v>111</v>
      </c>
      <c r="L4" s="4" t="s">
        <v>111</v>
      </c>
      <c r="M4" s="4" t="s">
        <v>117</v>
      </c>
      <c r="N4" s="4" t="s">
        <v>112</v>
      </c>
    </row>
    <row r="5" customFormat="false" ht="23.85" hidden="false" customHeight="false" outlineLevel="0" collapsed="false">
      <c r="A5" s="4" t="s">
        <v>118</v>
      </c>
      <c r="B5" s="4" t="s">
        <v>119</v>
      </c>
      <c r="C5" s="4"/>
      <c r="D5" s="4" t="s">
        <v>115</v>
      </c>
      <c r="E5" s="4" t="s">
        <v>120</v>
      </c>
      <c r="F5" s="4" t="s">
        <v>109</v>
      </c>
      <c r="G5" s="4" t="s">
        <v>110</v>
      </c>
      <c r="H5" s="4" t="s">
        <v>111</v>
      </c>
      <c r="I5" s="4" t="s">
        <v>111</v>
      </c>
      <c r="J5" s="4" t="s">
        <v>111</v>
      </c>
      <c r="K5" s="4" t="s">
        <v>111</v>
      </c>
      <c r="L5" s="4" t="s">
        <v>111</v>
      </c>
      <c r="M5" s="4" t="s">
        <v>121</v>
      </c>
      <c r="N5" s="4" t="s">
        <v>112</v>
      </c>
    </row>
    <row r="6" customFormat="false" ht="23.85" hidden="false" customHeight="false" outlineLevel="0" collapsed="false">
      <c r="A6" s="4" t="s">
        <v>122</v>
      </c>
      <c r="B6" s="4" t="s">
        <v>123</v>
      </c>
      <c r="C6" s="4" t="s">
        <v>124</v>
      </c>
      <c r="D6" s="4" t="s">
        <v>107</v>
      </c>
      <c r="E6" s="4" t="s">
        <v>125</v>
      </c>
      <c r="F6" s="4" t="s">
        <v>126</v>
      </c>
      <c r="G6" s="4" t="s">
        <v>110</v>
      </c>
      <c r="H6" s="4" t="s">
        <v>111</v>
      </c>
      <c r="I6" s="4" t="s">
        <v>111</v>
      </c>
      <c r="J6" s="4" t="s">
        <v>111</v>
      </c>
      <c r="K6" s="4" t="s">
        <v>111</v>
      </c>
      <c r="L6" s="4" t="s">
        <v>111</v>
      </c>
      <c r="M6" s="4" t="s">
        <v>127</v>
      </c>
      <c r="N6" s="4" t="s">
        <v>128</v>
      </c>
    </row>
    <row r="7" customFormat="false" ht="23.85" hidden="false" customHeight="false" outlineLevel="0" collapsed="false">
      <c r="A7" s="4" t="s">
        <v>129</v>
      </c>
      <c r="B7" s="4" t="s">
        <v>130</v>
      </c>
      <c r="C7" s="4" t="s">
        <v>131</v>
      </c>
      <c r="D7" s="4" t="s">
        <v>107</v>
      </c>
      <c r="E7" s="4" t="s">
        <v>132</v>
      </c>
      <c r="F7" s="4" t="s">
        <v>126</v>
      </c>
      <c r="G7" s="4" t="s">
        <v>110</v>
      </c>
      <c r="H7" s="4" t="s">
        <v>111</v>
      </c>
      <c r="I7" s="4" t="s">
        <v>111</v>
      </c>
      <c r="J7" s="4" t="s">
        <v>111</v>
      </c>
      <c r="K7" s="4" t="s">
        <v>111</v>
      </c>
      <c r="L7" s="4" t="s">
        <v>111</v>
      </c>
      <c r="M7" s="4" t="s">
        <v>133</v>
      </c>
      <c r="N7" s="4" t="s">
        <v>134</v>
      </c>
    </row>
    <row r="8" customFormat="false" ht="23.85" hidden="false" customHeight="false" outlineLevel="0" collapsed="false">
      <c r="A8" s="4" t="s">
        <v>135</v>
      </c>
      <c r="B8" s="4" t="s">
        <v>136</v>
      </c>
      <c r="C8" s="4"/>
      <c r="D8" s="4" t="s">
        <v>137</v>
      </c>
      <c r="E8" s="4" t="s">
        <v>138</v>
      </c>
      <c r="F8" s="4" t="s">
        <v>126</v>
      </c>
      <c r="G8" s="4" t="s">
        <v>139</v>
      </c>
      <c r="H8" s="4" t="s">
        <v>111</v>
      </c>
      <c r="I8" s="4" t="s">
        <v>111</v>
      </c>
      <c r="J8" s="4" t="s">
        <v>111</v>
      </c>
      <c r="K8" s="4" t="s">
        <v>111</v>
      </c>
      <c r="L8" s="4" t="s">
        <v>111</v>
      </c>
      <c r="M8" s="4" t="s">
        <v>135</v>
      </c>
      <c r="N8" s="4" t="s">
        <v>140</v>
      </c>
    </row>
    <row r="9" customFormat="false" ht="23.85" hidden="false" customHeight="false" outlineLevel="0" collapsed="false">
      <c r="A9" s="4" t="s">
        <v>141</v>
      </c>
      <c r="B9" s="4" t="s">
        <v>142</v>
      </c>
      <c r="C9" s="4"/>
      <c r="D9" s="4" t="s">
        <v>137</v>
      </c>
      <c r="E9" s="4" t="s">
        <v>138</v>
      </c>
      <c r="F9" s="4" t="s">
        <v>126</v>
      </c>
      <c r="G9" s="4" t="s">
        <v>139</v>
      </c>
      <c r="H9" s="4" t="s">
        <v>111</v>
      </c>
      <c r="I9" s="4" t="s">
        <v>111</v>
      </c>
      <c r="J9" s="4" t="s">
        <v>111</v>
      </c>
      <c r="K9" s="4" t="s">
        <v>111</v>
      </c>
      <c r="L9" s="4" t="s">
        <v>111</v>
      </c>
      <c r="M9" s="4" t="s">
        <v>141</v>
      </c>
      <c r="N9" s="4" t="s">
        <v>143</v>
      </c>
    </row>
    <row r="10" customFormat="false" ht="23.85" hidden="false" customHeight="false" outlineLevel="0" collapsed="false">
      <c r="A10" s="4" t="s">
        <v>144</v>
      </c>
      <c r="B10" s="4" t="s">
        <v>145</v>
      </c>
      <c r="C10" s="4"/>
      <c r="D10" s="4" t="s">
        <v>137</v>
      </c>
      <c r="E10" s="4" t="s">
        <v>138</v>
      </c>
      <c r="F10" s="4" t="s">
        <v>126</v>
      </c>
      <c r="G10" s="4" t="s">
        <v>139</v>
      </c>
      <c r="H10" s="4" t="s">
        <v>111</v>
      </c>
      <c r="I10" s="4" t="s">
        <v>111</v>
      </c>
      <c r="J10" s="4" t="s">
        <v>111</v>
      </c>
      <c r="K10" s="4" t="s">
        <v>111</v>
      </c>
      <c r="L10" s="4" t="s">
        <v>111</v>
      </c>
      <c r="M10" s="4" t="s">
        <v>144</v>
      </c>
      <c r="N10" s="4" t="s">
        <v>146</v>
      </c>
    </row>
    <row r="11" customFormat="false" ht="23.85" hidden="false" customHeight="false" outlineLevel="0" collapsed="false">
      <c r="A11" s="4" t="s">
        <v>147</v>
      </c>
      <c r="B11" s="4" t="s">
        <v>24</v>
      </c>
      <c r="C11" s="4"/>
      <c r="D11" s="4" t="s">
        <v>137</v>
      </c>
      <c r="E11" s="4" t="s">
        <v>138</v>
      </c>
      <c r="F11" s="4" t="s">
        <v>126</v>
      </c>
      <c r="G11" s="4" t="s">
        <v>139</v>
      </c>
      <c r="H11" s="4" t="s">
        <v>111</v>
      </c>
      <c r="I11" s="4" t="s">
        <v>111</v>
      </c>
      <c r="J11" s="4" t="s">
        <v>111</v>
      </c>
      <c r="K11" s="4" t="s">
        <v>111</v>
      </c>
      <c r="L11" s="4" t="s">
        <v>111</v>
      </c>
      <c r="M11" s="4" t="s">
        <v>147</v>
      </c>
      <c r="N11" s="4" t="s">
        <v>148</v>
      </c>
    </row>
    <row r="12" customFormat="false" ht="23.85" hidden="false" customHeight="false" outlineLevel="0" collapsed="false">
      <c r="A12" s="4" t="s">
        <v>149</v>
      </c>
      <c r="B12" s="4" t="s">
        <v>32</v>
      </c>
      <c r="C12" s="4"/>
      <c r="D12" s="4" t="s">
        <v>137</v>
      </c>
      <c r="E12" s="4" t="s">
        <v>138</v>
      </c>
      <c r="F12" s="4" t="s">
        <v>126</v>
      </c>
      <c r="G12" s="4" t="s">
        <v>139</v>
      </c>
      <c r="H12" s="4" t="s">
        <v>111</v>
      </c>
      <c r="I12" s="4" t="s">
        <v>111</v>
      </c>
      <c r="J12" s="4" t="s">
        <v>111</v>
      </c>
      <c r="K12" s="4" t="s">
        <v>111</v>
      </c>
      <c r="L12" s="4" t="s">
        <v>111</v>
      </c>
      <c r="M12" s="4" t="s">
        <v>149</v>
      </c>
      <c r="N12" s="4" t="s">
        <v>150</v>
      </c>
    </row>
    <row r="13" customFormat="false" ht="23.85" hidden="false" customHeight="false" outlineLevel="0" collapsed="false">
      <c r="A13" s="4" t="s">
        <v>151</v>
      </c>
      <c r="B13" s="4" t="s">
        <v>152</v>
      </c>
      <c r="C13" s="4"/>
      <c r="D13" s="4" t="s">
        <v>137</v>
      </c>
      <c r="E13" s="4" t="s">
        <v>138</v>
      </c>
      <c r="F13" s="4" t="s">
        <v>126</v>
      </c>
      <c r="G13" s="4" t="s">
        <v>139</v>
      </c>
      <c r="H13" s="4" t="s">
        <v>111</v>
      </c>
      <c r="I13" s="4" t="s">
        <v>111</v>
      </c>
      <c r="J13" s="4" t="s">
        <v>111</v>
      </c>
      <c r="K13" s="4" t="s">
        <v>111</v>
      </c>
      <c r="L13" s="4" t="s">
        <v>111</v>
      </c>
      <c r="M13" s="4" t="s">
        <v>151</v>
      </c>
      <c r="N13" s="4" t="s">
        <v>153</v>
      </c>
    </row>
    <row r="14" customFormat="false" ht="23.85" hidden="false" customHeight="false" outlineLevel="0" collapsed="false">
      <c r="A14" s="4" t="s">
        <v>154</v>
      </c>
      <c r="B14" s="4" t="s">
        <v>155</v>
      </c>
      <c r="C14" s="4"/>
      <c r="D14" s="4" t="s">
        <v>137</v>
      </c>
      <c r="E14" s="4" t="s">
        <v>138</v>
      </c>
      <c r="F14" s="4" t="s">
        <v>126</v>
      </c>
      <c r="G14" s="4" t="s">
        <v>139</v>
      </c>
      <c r="H14" s="4" t="s">
        <v>111</v>
      </c>
      <c r="I14" s="4" t="s">
        <v>111</v>
      </c>
      <c r="J14" s="4" t="s">
        <v>111</v>
      </c>
      <c r="K14" s="4" t="s">
        <v>111</v>
      </c>
      <c r="L14" s="4" t="s">
        <v>111</v>
      </c>
      <c r="M14" s="4" t="s">
        <v>154</v>
      </c>
      <c r="N14" s="4" t="s">
        <v>156</v>
      </c>
    </row>
    <row r="15" customFormat="false" ht="23.85" hidden="false" customHeight="false" outlineLevel="0" collapsed="false">
      <c r="A15" s="4" t="s">
        <v>157</v>
      </c>
      <c r="B15" s="4" t="s">
        <v>158</v>
      </c>
      <c r="C15" s="4"/>
      <c r="D15" s="4" t="s">
        <v>137</v>
      </c>
      <c r="E15" s="4" t="s">
        <v>138</v>
      </c>
      <c r="F15" s="4" t="s">
        <v>126</v>
      </c>
      <c r="G15" s="4" t="s">
        <v>139</v>
      </c>
      <c r="H15" s="4" t="s">
        <v>111</v>
      </c>
      <c r="I15" s="4" t="s">
        <v>111</v>
      </c>
      <c r="J15" s="4" t="s">
        <v>111</v>
      </c>
      <c r="K15" s="4" t="s">
        <v>111</v>
      </c>
      <c r="L15" s="4" t="s">
        <v>111</v>
      </c>
      <c r="M15" s="4" t="s">
        <v>157</v>
      </c>
      <c r="N15" s="4" t="s">
        <v>159</v>
      </c>
    </row>
    <row r="16" customFormat="false" ht="23.85" hidden="false" customHeight="false" outlineLevel="0" collapsed="false">
      <c r="A16" s="4" t="s">
        <v>160</v>
      </c>
      <c r="B16" s="4" t="s">
        <v>161</v>
      </c>
      <c r="C16" s="4" t="s">
        <v>162</v>
      </c>
      <c r="D16" s="4" t="s">
        <v>107</v>
      </c>
      <c r="E16" s="4" t="s">
        <v>163</v>
      </c>
      <c r="F16" s="4" t="s">
        <v>109</v>
      </c>
      <c r="G16" s="4" t="s">
        <v>164</v>
      </c>
      <c r="H16" s="4" t="s">
        <v>111</v>
      </c>
      <c r="I16" s="4" t="s">
        <v>111</v>
      </c>
      <c r="J16" s="4" t="s">
        <v>111</v>
      </c>
      <c r="K16" s="4" t="s">
        <v>111</v>
      </c>
      <c r="L16" s="4" t="s">
        <v>111</v>
      </c>
      <c r="M16" s="4" t="s">
        <v>160</v>
      </c>
      <c r="N16" s="4" t="s">
        <v>165</v>
      </c>
    </row>
    <row r="17" customFormat="false" ht="23.85" hidden="false" customHeight="false" outlineLevel="0" collapsed="false">
      <c r="A17" s="4" t="s">
        <v>166</v>
      </c>
      <c r="B17" s="4" t="s">
        <v>167</v>
      </c>
      <c r="C17" s="4" t="s">
        <v>162</v>
      </c>
      <c r="D17" s="4" t="s">
        <v>107</v>
      </c>
      <c r="E17" s="4" t="s">
        <v>168</v>
      </c>
      <c r="F17" s="4" t="s">
        <v>126</v>
      </c>
      <c r="G17" s="4" t="s">
        <v>164</v>
      </c>
      <c r="H17" s="4" t="s">
        <v>111</v>
      </c>
      <c r="I17" s="4" t="s">
        <v>111</v>
      </c>
      <c r="J17" s="4" t="s">
        <v>111</v>
      </c>
      <c r="K17" s="4" t="s">
        <v>111</v>
      </c>
      <c r="L17" s="4" t="s">
        <v>111</v>
      </c>
      <c r="M17" s="4" t="s">
        <v>166</v>
      </c>
      <c r="N17" s="4" t="s">
        <v>169</v>
      </c>
    </row>
    <row r="18" customFormat="false" ht="23.85" hidden="false" customHeight="false" outlineLevel="0" collapsed="false">
      <c r="A18" s="4" t="s">
        <v>170</v>
      </c>
      <c r="B18" s="4" t="s">
        <v>171</v>
      </c>
      <c r="C18" s="4"/>
      <c r="D18" s="4" t="s">
        <v>115</v>
      </c>
      <c r="E18" s="4" t="s">
        <v>172</v>
      </c>
      <c r="F18" s="4" t="s">
        <v>126</v>
      </c>
      <c r="G18" s="4" t="s">
        <v>164</v>
      </c>
      <c r="H18" s="4" t="s">
        <v>111</v>
      </c>
      <c r="I18" s="4" t="s">
        <v>111</v>
      </c>
      <c r="J18" s="4" t="s">
        <v>111</v>
      </c>
      <c r="K18" s="4" t="s">
        <v>111</v>
      </c>
      <c r="L18" s="4" t="s">
        <v>111</v>
      </c>
      <c r="M18" s="4" t="s">
        <v>173</v>
      </c>
      <c r="N18" s="4" t="s">
        <v>174</v>
      </c>
    </row>
    <row r="19" customFormat="false" ht="23.85" hidden="false" customHeight="false" outlineLevel="0" collapsed="false">
      <c r="A19" s="4" t="s">
        <v>175</v>
      </c>
      <c r="B19" s="4" t="s">
        <v>176</v>
      </c>
      <c r="C19" s="4"/>
      <c r="D19" s="4" t="s">
        <v>115</v>
      </c>
      <c r="E19" s="4" t="s">
        <v>177</v>
      </c>
      <c r="F19" s="4" t="s">
        <v>126</v>
      </c>
      <c r="G19" s="4" t="s">
        <v>164</v>
      </c>
      <c r="H19" s="4" t="s">
        <v>111</v>
      </c>
      <c r="I19" s="4" t="s">
        <v>111</v>
      </c>
      <c r="J19" s="4" t="s">
        <v>111</v>
      </c>
      <c r="K19" s="4" t="s">
        <v>111</v>
      </c>
      <c r="L19" s="4" t="s">
        <v>111</v>
      </c>
      <c r="M19" s="4" t="s">
        <v>178</v>
      </c>
      <c r="N19" s="4" t="s">
        <v>179</v>
      </c>
    </row>
    <row r="20" customFormat="false" ht="15" hidden="false" customHeight="false" outlineLevel="0" collapsed="false">
      <c r="A20" s="4" t="s">
        <v>180</v>
      </c>
      <c r="B20" s="4" t="s">
        <v>181</v>
      </c>
      <c r="C20" s="4" t="s">
        <v>182</v>
      </c>
      <c r="D20" s="4" t="s">
        <v>107</v>
      </c>
      <c r="E20" s="4" t="s">
        <v>183</v>
      </c>
      <c r="F20" s="4" t="s">
        <v>126</v>
      </c>
      <c r="G20" s="4" t="s">
        <v>184</v>
      </c>
      <c r="H20" s="4" t="s">
        <v>111</v>
      </c>
      <c r="I20" s="4" t="s">
        <v>111</v>
      </c>
      <c r="J20" s="4" t="s">
        <v>111</v>
      </c>
      <c r="K20" s="4" t="s">
        <v>111</v>
      </c>
      <c r="L20" s="4" t="s">
        <v>111</v>
      </c>
      <c r="M20" s="4" t="s">
        <v>185</v>
      </c>
      <c r="N20" s="4" t="s">
        <v>186</v>
      </c>
    </row>
    <row r="21" customFormat="false" ht="15" hidden="false" customHeight="false" outlineLevel="0" collapsed="false">
      <c r="A21" s="4" t="s">
        <v>187</v>
      </c>
      <c r="B21" s="4" t="s">
        <v>188</v>
      </c>
      <c r="C21" s="4" t="s">
        <v>182</v>
      </c>
      <c r="D21" s="4" t="s">
        <v>107</v>
      </c>
      <c r="E21" s="4" t="s">
        <v>189</v>
      </c>
      <c r="F21" s="4" t="s">
        <v>126</v>
      </c>
      <c r="G21" s="4" t="s">
        <v>184</v>
      </c>
      <c r="H21" s="4" t="s">
        <v>111</v>
      </c>
      <c r="I21" s="4" t="s">
        <v>111</v>
      </c>
      <c r="J21" s="4" t="s">
        <v>111</v>
      </c>
      <c r="K21" s="4" t="s">
        <v>111</v>
      </c>
      <c r="L21" s="4" t="s">
        <v>111</v>
      </c>
      <c r="M21" s="4" t="s">
        <v>190</v>
      </c>
      <c r="N21" s="4" t="s">
        <v>191</v>
      </c>
    </row>
    <row r="22" customFormat="false" ht="23.85" hidden="false" customHeight="false" outlineLevel="0" collapsed="false">
      <c r="A22" s="4" t="s">
        <v>192</v>
      </c>
      <c r="B22" s="4" t="s">
        <v>193</v>
      </c>
      <c r="C22" s="4" t="s">
        <v>182</v>
      </c>
      <c r="D22" s="4" t="s">
        <v>107</v>
      </c>
      <c r="E22" s="4" t="s">
        <v>194</v>
      </c>
      <c r="F22" s="4" t="s">
        <v>126</v>
      </c>
      <c r="G22" s="4" t="s">
        <v>184</v>
      </c>
      <c r="H22" s="4" t="s">
        <v>111</v>
      </c>
      <c r="I22" s="4" t="s">
        <v>111</v>
      </c>
      <c r="J22" s="4" t="s">
        <v>111</v>
      </c>
      <c r="K22" s="4" t="s">
        <v>111</v>
      </c>
      <c r="L22" s="4" t="s">
        <v>111</v>
      </c>
      <c r="M22" s="4" t="s">
        <v>192</v>
      </c>
      <c r="N22" s="4" t="s">
        <v>195</v>
      </c>
    </row>
    <row r="23" customFormat="false" ht="15" hidden="false" customHeight="false" outlineLevel="0" collapsed="false">
      <c r="A23" s="4" t="s">
        <v>196</v>
      </c>
      <c r="B23" s="4" t="s">
        <v>197</v>
      </c>
      <c r="C23" s="4" t="s">
        <v>182</v>
      </c>
      <c r="D23" s="4" t="s">
        <v>107</v>
      </c>
      <c r="E23" s="4" t="s">
        <v>198</v>
      </c>
      <c r="F23" s="4" t="s">
        <v>126</v>
      </c>
      <c r="G23" s="4" t="s">
        <v>184</v>
      </c>
      <c r="H23" s="4" t="s">
        <v>111</v>
      </c>
      <c r="I23" s="4" t="s">
        <v>111</v>
      </c>
      <c r="J23" s="4" t="s">
        <v>111</v>
      </c>
      <c r="K23" s="4" t="s">
        <v>111</v>
      </c>
      <c r="L23" s="4" t="s">
        <v>111</v>
      </c>
      <c r="M23" s="4" t="s">
        <v>196</v>
      </c>
      <c r="N23" s="4" t="s">
        <v>199</v>
      </c>
    </row>
    <row r="24" customFormat="false" ht="23.85" hidden="false" customHeight="false" outlineLevel="0" collapsed="false">
      <c r="A24" s="4" t="s">
        <v>200</v>
      </c>
      <c r="B24" s="4" t="s">
        <v>201</v>
      </c>
      <c r="C24" s="4" t="s">
        <v>182</v>
      </c>
      <c r="D24" s="4" t="s">
        <v>107</v>
      </c>
      <c r="E24" s="4" t="s">
        <v>202</v>
      </c>
      <c r="F24" s="4" t="s">
        <v>126</v>
      </c>
      <c r="G24" s="4" t="s">
        <v>184</v>
      </c>
      <c r="H24" s="4" t="s">
        <v>111</v>
      </c>
      <c r="I24" s="4" t="s">
        <v>111</v>
      </c>
      <c r="J24" s="4" t="s">
        <v>111</v>
      </c>
      <c r="K24" s="4" t="s">
        <v>111</v>
      </c>
      <c r="L24" s="4" t="s">
        <v>111</v>
      </c>
      <c r="M24" s="4" t="s">
        <v>200</v>
      </c>
      <c r="N24" s="4" t="s">
        <v>203</v>
      </c>
    </row>
    <row r="25" customFormat="false" ht="23.85" hidden="false" customHeight="false" outlineLevel="0" collapsed="false">
      <c r="A25" s="4" t="s">
        <v>204</v>
      </c>
      <c r="B25" s="4" t="s">
        <v>205</v>
      </c>
      <c r="C25" s="4" t="s">
        <v>206</v>
      </c>
      <c r="D25" s="4" t="s">
        <v>107</v>
      </c>
      <c r="E25" s="4" t="s">
        <v>207</v>
      </c>
      <c r="F25" s="4" t="s">
        <v>126</v>
      </c>
      <c r="G25" s="4" t="s">
        <v>184</v>
      </c>
      <c r="H25" s="4" t="s">
        <v>111</v>
      </c>
      <c r="I25" s="4" t="s">
        <v>111</v>
      </c>
      <c r="J25" s="4" t="s">
        <v>111</v>
      </c>
      <c r="K25" s="4" t="s">
        <v>111</v>
      </c>
      <c r="L25" s="4" t="s">
        <v>111</v>
      </c>
      <c r="M25" s="4" t="s">
        <v>204</v>
      </c>
      <c r="N25" s="4" t="s">
        <v>208</v>
      </c>
    </row>
    <row r="26" customFormat="false" ht="23.85" hidden="false" customHeight="false" outlineLevel="0" collapsed="false">
      <c r="A26" s="4" t="s">
        <v>209</v>
      </c>
      <c r="B26" s="4" t="s">
        <v>210</v>
      </c>
      <c r="C26" s="4" t="s">
        <v>211</v>
      </c>
      <c r="D26" s="4" t="s">
        <v>107</v>
      </c>
      <c r="E26" s="4" t="s">
        <v>212</v>
      </c>
      <c r="F26" s="4" t="s">
        <v>126</v>
      </c>
      <c r="G26" s="4" t="s">
        <v>184</v>
      </c>
      <c r="H26" s="4" t="s">
        <v>111</v>
      </c>
      <c r="I26" s="4" t="s">
        <v>111</v>
      </c>
      <c r="J26" s="4" t="s">
        <v>111</v>
      </c>
      <c r="K26" s="4" t="s">
        <v>111</v>
      </c>
      <c r="L26" s="4" t="s">
        <v>111</v>
      </c>
      <c r="M26" s="4" t="s">
        <v>209</v>
      </c>
      <c r="N26" s="4" t="s">
        <v>213</v>
      </c>
    </row>
    <row r="27" customFormat="false" ht="23.85" hidden="false" customHeight="false" outlineLevel="0" collapsed="false">
      <c r="A27" s="4" t="s">
        <v>214</v>
      </c>
      <c r="B27" s="4" t="s">
        <v>215</v>
      </c>
      <c r="C27" s="4" t="s">
        <v>216</v>
      </c>
      <c r="D27" s="4" t="s">
        <v>107</v>
      </c>
      <c r="E27" s="4" t="s">
        <v>217</v>
      </c>
      <c r="F27" s="4" t="s">
        <v>126</v>
      </c>
      <c r="G27" s="4" t="s">
        <v>184</v>
      </c>
      <c r="H27" s="4" t="s">
        <v>111</v>
      </c>
      <c r="I27" s="4" t="s">
        <v>111</v>
      </c>
      <c r="J27" s="4" t="s">
        <v>111</v>
      </c>
      <c r="K27" s="4" t="s">
        <v>111</v>
      </c>
      <c r="L27" s="4" t="s">
        <v>111</v>
      </c>
      <c r="M27" s="4" t="s">
        <v>214</v>
      </c>
      <c r="N27" s="4" t="s">
        <v>218</v>
      </c>
    </row>
    <row r="28" customFormat="false" ht="23.85" hidden="false" customHeight="false" outlineLevel="0" collapsed="false">
      <c r="A28" s="4" t="s">
        <v>219</v>
      </c>
      <c r="B28" s="4" t="s">
        <v>220</v>
      </c>
      <c r="C28" s="4" t="s">
        <v>221</v>
      </c>
      <c r="D28" s="4" t="s">
        <v>107</v>
      </c>
      <c r="E28" s="4" t="s">
        <v>222</v>
      </c>
      <c r="F28" s="4" t="s">
        <v>126</v>
      </c>
      <c r="G28" s="4" t="s">
        <v>223</v>
      </c>
      <c r="H28" s="4" t="s">
        <v>111</v>
      </c>
      <c r="I28" s="4" t="s">
        <v>111</v>
      </c>
      <c r="J28" s="4" t="s">
        <v>111</v>
      </c>
      <c r="K28" s="4" t="s">
        <v>224</v>
      </c>
      <c r="L28" s="4" t="s">
        <v>224</v>
      </c>
      <c r="M28" s="4" t="s">
        <v>225</v>
      </c>
      <c r="N28" s="4" t="s">
        <v>226</v>
      </c>
    </row>
    <row r="29" customFormat="false" ht="23.85" hidden="false" customHeight="false" outlineLevel="0" collapsed="false">
      <c r="A29" s="4" t="s">
        <v>227</v>
      </c>
      <c r="B29" s="4" t="s">
        <v>228</v>
      </c>
      <c r="C29" s="4" t="s">
        <v>206</v>
      </c>
      <c r="D29" s="4" t="s">
        <v>107</v>
      </c>
      <c r="E29" s="4" t="s">
        <v>229</v>
      </c>
      <c r="F29" s="4" t="s">
        <v>126</v>
      </c>
      <c r="G29" s="4" t="s">
        <v>223</v>
      </c>
      <c r="H29" s="4" t="s">
        <v>224</v>
      </c>
      <c r="I29" s="4" t="s">
        <v>224</v>
      </c>
      <c r="J29" s="4" t="s">
        <v>111</v>
      </c>
      <c r="K29" s="4" t="s">
        <v>111</v>
      </c>
      <c r="L29" s="4" t="s">
        <v>111</v>
      </c>
      <c r="M29" s="4" t="s">
        <v>227</v>
      </c>
      <c r="N29" s="4" t="s">
        <v>230</v>
      </c>
    </row>
    <row r="30" customFormat="false" ht="15" hidden="false" customHeight="false" outlineLevel="0" collapsed="false">
      <c r="A30" s="4" t="s">
        <v>231</v>
      </c>
      <c r="B30" s="4" t="s">
        <v>232</v>
      </c>
      <c r="C30" s="4"/>
      <c r="D30" s="4" t="s">
        <v>137</v>
      </c>
      <c r="E30" s="4" t="s">
        <v>138</v>
      </c>
      <c r="F30" s="4" t="s">
        <v>126</v>
      </c>
      <c r="G30" s="4" t="s">
        <v>233</v>
      </c>
      <c r="H30" s="4" t="s">
        <v>111</v>
      </c>
      <c r="I30" s="4" t="s">
        <v>111</v>
      </c>
      <c r="J30" s="4" t="s">
        <v>111</v>
      </c>
      <c r="K30" s="4" t="s">
        <v>111</v>
      </c>
      <c r="L30" s="4" t="s">
        <v>111</v>
      </c>
      <c r="M30" s="4" t="s">
        <v>231</v>
      </c>
      <c r="N30" s="4" t="s">
        <v>234</v>
      </c>
    </row>
    <row r="31" customFormat="false" ht="15" hidden="false" customHeight="false" outlineLevel="0" collapsed="false">
      <c r="A31" s="4" t="s">
        <v>235</v>
      </c>
      <c r="B31" s="4" t="s">
        <v>236</v>
      </c>
      <c r="C31" s="4"/>
      <c r="D31" s="4" t="s">
        <v>137</v>
      </c>
      <c r="E31" s="4" t="s">
        <v>138</v>
      </c>
      <c r="F31" s="4" t="s">
        <v>126</v>
      </c>
      <c r="G31" s="4" t="s">
        <v>233</v>
      </c>
      <c r="H31" s="4" t="s">
        <v>111</v>
      </c>
      <c r="I31" s="4" t="s">
        <v>111</v>
      </c>
      <c r="J31" s="4" t="s">
        <v>111</v>
      </c>
      <c r="K31" s="4" t="s">
        <v>111</v>
      </c>
      <c r="L31" s="4" t="s">
        <v>111</v>
      </c>
      <c r="M31" s="4" t="s">
        <v>235</v>
      </c>
      <c r="N31" s="4" t="s">
        <v>237</v>
      </c>
    </row>
    <row r="32" customFormat="false" ht="15" hidden="false" customHeight="false" outlineLevel="0" collapsed="false">
      <c r="A32" s="4" t="s">
        <v>238</v>
      </c>
      <c r="B32" s="4" t="s">
        <v>239</v>
      </c>
      <c r="C32" s="4"/>
      <c r="D32" s="4" t="s">
        <v>137</v>
      </c>
      <c r="E32" s="4" t="s">
        <v>138</v>
      </c>
      <c r="F32" s="4" t="s">
        <v>126</v>
      </c>
      <c r="G32" s="4" t="s">
        <v>233</v>
      </c>
      <c r="H32" s="4" t="s">
        <v>111</v>
      </c>
      <c r="I32" s="4" t="s">
        <v>111</v>
      </c>
      <c r="J32" s="4" t="s">
        <v>111</v>
      </c>
      <c r="K32" s="4" t="s">
        <v>111</v>
      </c>
      <c r="L32" s="4" t="s">
        <v>111</v>
      </c>
      <c r="M32" s="4" t="s">
        <v>238</v>
      </c>
      <c r="N32" s="4" t="s">
        <v>240</v>
      </c>
    </row>
    <row r="33" customFormat="false" ht="15" hidden="false" customHeight="false" outlineLevel="0" collapsed="false">
      <c r="A33" s="4" t="s">
        <v>241</v>
      </c>
      <c r="B33" s="4" t="s">
        <v>242</v>
      </c>
      <c r="C33" s="4"/>
      <c r="D33" s="4" t="s">
        <v>137</v>
      </c>
      <c r="E33" s="4" t="s">
        <v>138</v>
      </c>
      <c r="F33" s="4" t="s">
        <v>126</v>
      </c>
      <c r="G33" s="4" t="s">
        <v>233</v>
      </c>
      <c r="H33" s="4" t="s">
        <v>111</v>
      </c>
      <c r="I33" s="4" t="s">
        <v>111</v>
      </c>
      <c r="J33" s="4" t="s">
        <v>111</v>
      </c>
      <c r="K33" s="4" t="s">
        <v>111</v>
      </c>
      <c r="L33" s="4" t="s">
        <v>111</v>
      </c>
      <c r="M33" s="4" t="s">
        <v>241</v>
      </c>
      <c r="N33" s="4" t="s">
        <v>243</v>
      </c>
    </row>
    <row r="34" customFormat="false" ht="15" hidden="false" customHeight="false" outlineLevel="0" collapsed="false">
      <c r="A34" s="4" t="s">
        <v>244</v>
      </c>
      <c r="B34" s="4" t="s">
        <v>245</v>
      </c>
      <c r="C34" s="4"/>
      <c r="D34" s="4" t="s">
        <v>137</v>
      </c>
      <c r="E34" s="4" t="s">
        <v>138</v>
      </c>
      <c r="F34" s="4" t="s">
        <v>126</v>
      </c>
      <c r="G34" s="4" t="s">
        <v>233</v>
      </c>
      <c r="H34" s="4" t="s">
        <v>111</v>
      </c>
      <c r="I34" s="4" t="s">
        <v>111</v>
      </c>
      <c r="J34" s="4" t="s">
        <v>111</v>
      </c>
      <c r="K34" s="4" t="s">
        <v>111</v>
      </c>
      <c r="L34" s="4" t="s">
        <v>111</v>
      </c>
      <c r="M34" s="4" t="s">
        <v>244</v>
      </c>
      <c r="N34" s="4" t="s">
        <v>246</v>
      </c>
    </row>
    <row r="35" customFormat="false" ht="23.85" hidden="false" customHeight="false" outlineLevel="0" collapsed="false">
      <c r="A35" s="4" t="s">
        <v>247</v>
      </c>
      <c r="B35" s="4" t="s">
        <v>248</v>
      </c>
      <c r="C35" s="4"/>
      <c r="D35" s="4" t="s">
        <v>137</v>
      </c>
      <c r="E35" s="4" t="s">
        <v>138</v>
      </c>
      <c r="F35" s="4" t="s">
        <v>126</v>
      </c>
      <c r="G35" s="4" t="s">
        <v>233</v>
      </c>
      <c r="H35" s="4" t="s">
        <v>111</v>
      </c>
      <c r="I35" s="4" t="s">
        <v>111</v>
      </c>
      <c r="J35" s="4" t="s">
        <v>111</v>
      </c>
      <c r="K35" s="4" t="s">
        <v>111</v>
      </c>
      <c r="L35" s="4" t="s">
        <v>111</v>
      </c>
      <c r="M35" s="4" t="s">
        <v>247</v>
      </c>
      <c r="N35" s="4" t="s">
        <v>249</v>
      </c>
    </row>
  </sheetData>
  <autoFilter ref="A2:N35"/>
  <mergeCells count="1">
    <mergeCell ref="A1:N1"/>
  </mergeCells>
  <dataValidations count="1">
    <dataValidation allowBlank="false" errorStyle="stop" operator="between" showDropDown="false" showErrorMessage="false" showInputMessage="false" sqref="H3:L3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2"/>
    <col collapsed="false" customWidth="true" hidden="false" outlineLevel="0" max="5" min="5" style="0" width="28"/>
  </cols>
  <sheetData>
    <row r="1" customFormat="false" ht="30" hidden="false" customHeight="true" outlineLevel="0" collapsed="false">
      <c r="A1" s="6" t="s">
        <v>250</v>
      </c>
      <c r="B1" s="6"/>
      <c r="C1" s="6"/>
      <c r="D1" s="6"/>
      <c r="E1" s="6"/>
    </row>
    <row r="2" customFormat="false" ht="15" hidden="false" customHeight="false" outlineLevel="0" collapsed="false">
      <c r="A2" s="3" t="s">
        <v>2</v>
      </c>
      <c r="B2" s="3" t="s">
        <v>251</v>
      </c>
      <c r="C2" s="3" t="s">
        <v>252</v>
      </c>
      <c r="D2" s="3" t="s">
        <v>253</v>
      </c>
      <c r="E2" s="3" t="s">
        <v>254</v>
      </c>
    </row>
    <row r="3" customFormat="false" ht="23.85" hidden="false" customHeight="false" outlineLevel="0" collapsed="false">
      <c r="A3" s="4" t="s">
        <v>44</v>
      </c>
      <c r="B3" s="4" t="s">
        <v>255</v>
      </c>
      <c r="C3" s="4" t="s">
        <v>256</v>
      </c>
      <c r="D3" s="4" t="s">
        <v>257</v>
      </c>
      <c r="E3" s="4" t="s">
        <v>258</v>
      </c>
    </row>
    <row r="4" customFormat="false" ht="23.85" hidden="false" customHeight="false" outlineLevel="0" collapsed="false">
      <c r="A4" s="4" t="s">
        <v>44</v>
      </c>
      <c r="B4" s="4" t="s">
        <v>259</v>
      </c>
      <c r="C4" s="4" t="s">
        <v>260</v>
      </c>
      <c r="D4" s="4" t="s">
        <v>261</v>
      </c>
      <c r="E4" s="4" t="s">
        <v>262</v>
      </c>
    </row>
    <row r="5" customFormat="false" ht="23.85" hidden="false" customHeight="false" outlineLevel="0" collapsed="false">
      <c r="A5" s="4" t="s">
        <v>44</v>
      </c>
      <c r="B5" s="4" t="s">
        <v>263</v>
      </c>
      <c r="C5" s="4" t="s">
        <v>264</v>
      </c>
      <c r="D5" s="4" t="s">
        <v>265</v>
      </c>
      <c r="E5" s="4" t="s">
        <v>266</v>
      </c>
    </row>
    <row r="6" customFormat="false" ht="15" hidden="false" customHeight="false" outlineLevel="0" collapsed="false">
      <c r="A6" s="4" t="s">
        <v>44</v>
      </c>
      <c r="B6" s="4" t="s">
        <v>267</v>
      </c>
      <c r="C6" s="4" t="s">
        <v>268</v>
      </c>
      <c r="D6" s="4" t="s">
        <v>269</v>
      </c>
      <c r="E6" s="4" t="s">
        <v>270</v>
      </c>
    </row>
    <row r="7" customFormat="false" ht="23.85" hidden="false" customHeight="false" outlineLevel="0" collapsed="false">
      <c r="A7" s="4" t="s">
        <v>44</v>
      </c>
      <c r="B7" s="4" t="s">
        <v>271</v>
      </c>
      <c r="C7" s="4" t="s">
        <v>272</v>
      </c>
      <c r="D7" s="4" t="s">
        <v>273</v>
      </c>
      <c r="E7" s="4" t="s">
        <v>266</v>
      </c>
    </row>
    <row r="8" customFormat="false" ht="15" hidden="false" customHeight="false" outlineLevel="0" collapsed="false">
      <c r="A8" s="4" t="s">
        <v>44</v>
      </c>
      <c r="B8" s="4" t="s">
        <v>274</v>
      </c>
      <c r="C8" s="4" t="s">
        <v>17</v>
      </c>
      <c r="D8" s="4" t="s">
        <v>275</v>
      </c>
      <c r="E8" s="4" t="s">
        <v>274</v>
      </c>
    </row>
    <row r="9" customFormat="false" ht="23.85" hidden="false" customHeight="false" outlineLevel="0" collapsed="false">
      <c r="A9" s="4" t="s">
        <v>44</v>
      </c>
      <c r="B9" s="4" t="s">
        <v>276</v>
      </c>
      <c r="C9" s="4" t="s">
        <v>277</v>
      </c>
      <c r="D9" s="4" t="s">
        <v>278</v>
      </c>
      <c r="E9" s="4" t="s">
        <v>279</v>
      </c>
    </row>
    <row r="10" customFormat="false" ht="23.85" hidden="false" customHeight="false" outlineLevel="0" collapsed="false">
      <c r="A10" s="4" t="s">
        <v>44</v>
      </c>
      <c r="B10" s="4" t="s">
        <v>280</v>
      </c>
      <c r="C10" s="4" t="s">
        <v>281</v>
      </c>
      <c r="D10" s="4" t="s">
        <v>278</v>
      </c>
      <c r="E10" s="4" t="s">
        <v>270</v>
      </c>
    </row>
    <row r="11" customFormat="false" ht="23.85" hidden="false" customHeight="false" outlineLevel="0" collapsed="false">
      <c r="A11" s="4" t="s">
        <v>53</v>
      </c>
      <c r="B11" s="4" t="s">
        <v>255</v>
      </c>
      <c r="C11" s="4" t="s">
        <v>282</v>
      </c>
      <c r="D11" s="4" t="s">
        <v>257</v>
      </c>
      <c r="E11" s="4" t="s">
        <v>258</v>
      </c>
    </row>
    <row r="12" customFormat="false" ht="23.85" hidden="false" customHeight="false" outlineLevel="0" collapsed="false">
      <c r="A12" s="4" t="s">
        <v>53</v>
      </c>
      <c r="B12" s="4" t="s">
        <v>259</v>
      </c>
      <c r="C12" s="4" t="s">
        <v>260</v>
      </c>
      <c r="D12" s="4" t="s">
        <v>261</v>
      </c>
      <c r="E12" s="4" t="s">
        <v>262</v>
      </c>
    </row>
    <row r="13" customFormat="false" ht="23.85" hidden="false" customHeight="false" outlineLevel="0" collapsed="false">
      <c r="A13" s="4" t="s">
        <v>53</v>
      </c>
      <c r="B13" s="4" t="s">
        <v>263</v>
      </c>
      <c r="C13" s="4" t="s">
        <v>264</v>
      </c>
      <c r="D13" s="4" t="s">
        <v>265</v>
      </c>
      <c r="E13" s="4" t="s">
        <v>266</v>
      </c>
    </row>
    <row r="14" customFormat="false" ht="15" hidden="false" customHeight="false" outlineLevel="0" collapsed="false">
      <c r="A14" s="4" t="s">
        <v>53</v>
      </c>
      <c r="B14" s="4" t="s">
        <v>267</v>
      </c>
      <c r="C14" s="4" t="s">
        <v>268</v>
      </c>
      <c r="D14" s="4" t="s">
        <v>269</v>
      </c>
      <c r="E14" s="4" t="s">
        <v>270</v>
      </c>
    </row>
    <row r="15" customFormat="false" ht="23.85" hidden="false" customHeight="false" outlineLevel="0" collapsed="false">
      <c r="A15" s="4" t="s">
        <v>53</v>
      </c>
      <c r="B15" s="4" t="s">
        <v>271</v>
      </c>
      <c r="C15" s="4" t="s">
        <v>272</v>
      </c>
      <c r="D15" s="4" t="s">
        <v>273</v>
      </c>
      <c r="E15" s="4" t="s">
        <v>266</v>
      </c>
    </row>
    <row r="16" customFormat="false" ht="15" hidden="false" customHeight="false" outlineLevel="0" collapsed="false">
      <c r="A16" s="4" t="s">
        <v>53</v>
      </c>
      <c r="B16" s="4" t="s">
        <v>274</v>
      </c>
      <c r="C16" s="4" t="s">
        <v>283</v>
      </c>
      <c r="D16" s="4" t="s">
        <v>275</v>
      </c>
      <c r="E16" s="4" t="s">
        <v>274</v>
      </c>
    </row>
    <row r="17" customFormat="false" ht="23.85" hidden="false" customHeight="false" outlineLevel="0" collapsed="false">
      <c r="A17" s="4" t="s">
        <v>53</v>
      </c>
      <c r="B17" s="4" t="s">
        <v>276</v>
      </c>
      <c r="C17" s="4" t="s">
        <v>277</v>
      </c>
      <c r="D17" s="4" t="s">
        <v>278</v>
      </c>
      <c r="E17" s="4" t="s">
        <v>279</v>
      </c>
    </row>
    <row r="18" customFormat="false" ht="23.85" hidden="false" customHeight="false" outlineLevel="0" collapsed="false">
      <c r="A18" s="4" t="s">
        <v>53</v>
      </c>
      <c r="B18" s="4" t="s">
        <v>280</v>
      </c>
      <c r="C18" s="4" t="s">
        <v>281</v>
      </c>
      <c r="D18" s="4" t="s">
        <v>278</v>
      </c>
      <c r="E18" s="4" t="s">
        <v>270</v>
      </c>
    </row>
    <row r="19" customFormat="false" ht="23.85" hidden="false" customHeight="false" outlineLevel="0" collapsed="false">
      <c r="A19" s="4" t="s">
        <v>69</v>
      </c>
      <c r="B19" s="4" t="s">
        <v>255</v>
      </c>
      <c r="C19" s="4" t="s">
        <v>284</v>
      </c>
      <c r="D19" s="4" t="s">
        <v>257</v>
      </c>
      <c r="E19" s="4" t="s">
        <v>258</v>
      </c>
    </row>
    <row r="20" customFormat="false" ht="23.85" hidden="false" customHeight="false" outlineLevel="0" collapsed="false">
      <c r="A20" s="4" t="s">
        <v>69</v>
      </c>
      <c r="B20" s="4" t="s">
        <v>259</v>
      </c>
      <c r="C20" s="4" t="s">
        <v>260</v>
      </c>
      <c r="D20" s="4" t="s">
        <v>261</v>
      </c>
      <c r="E20" s="4" t="s">
        <v>262</v>
      </c>
    </row>
    <row r="21" customFormat="false" ht="23.85" hidden="false" customHeight="false" outlineLevel="0" collapsed="false">
      <c r="A21" s="4" t="s">
        <v>69</v>
      </c>
      <c r="B21" s="4" t="s">
        <v>263</v>
      </c>
      <c r="C21" s="4" t="s">
        <v>264</v>
      </c>
      <c r="D21" s="4" t="s">
        <v>265</v>
      </c>
      <c r="E21" s="4" t="s">
        <v>266</v>
      </c>
    </row>
    <row r="22" customFormat="false" ht="15" hidden="false" customHeight="false" outlineLevel="0" collapsed="false">
      <c r="A22" s="4" t="s">
        <v>69</v>
      </c>
      <c r="B22" s="4" t="s">
        <v>267</v>
      </c>
      <c r="C22" s="4" t="s">
        <v>268</v>
      </c>
      <c r="D22" s="4" t="s">
        <v>269</v>
      </c>
      <c r="E22" s="4" t="s">
        <v>270</v>
      </c>
    </row>
    <row r="23" customFormat="false" ht="23.85" hidden="false" customHeight="false" outlineLevel="0" collapsed="false">
      <c r="A23" s="4" t="s">
        <v>69</v>
      </c>
      <c r="B23" s="4" t="s">
        <v>271</v>
      </c>
      <c r="C23" s="4" t="s">
        <v>272</v>
      </c>
      <c r="D23" s="4" t="s">
        <v>273</v>
      </c>
      <c r="E23" s="4" t="s">
        <v>266</v>
      </c>
    </row>
    <row r="24" customFormat="false" ht="15" hidden="false" customHeight="false" outlineLevel="0" collapsed="false">
      <c r="A24" s="4" t="s">
        <v>69</v>
      </c>
      <c r="B24" s="4" t="s">
        <v>274</v>
      </c>
      <c r="C24" s="4" t="s">
        <v>285</v>
      </c>
      <c r="D24" s="4" t="s">
        <v>275</v>
      </c>
      <c r="E24" s="4" t="s">
        <v>274</v>
      </c>
    </row>
    <row r="25" customFormat="false" ht="23.85" hidden="false" customHeight="false" outlineLevel="0" collapsed="false">
      <c r="A25" s="4" t="s">
        <v>69</v>
      </c>
      <c r="B25" s="4" t="s">
        <v>276</v>
      </c>
      <c r="C25" s="4" t="s">
        <v>277</v>
      </c>
      <c r="D25" s="4" t="s">
        <v>278</v>
      </c>
      <c r="E25" s="4" t="s">
        <v>279</v>
      </c>
    </row>
    <row r="26" customFormat="false" ht="23.85" hidden="false" customHeight="false" outlineLevel="0" collapsed="false">
      <c r="A26" s="4" t="s">
        <v>69</v>
      </c>
      <c r="B26" s="4" t="s">
        <v>280</v>
      </c>
      <c r="C26" s="4" t="s">
        <v>281</v>
      </c>
      <c r="D26" s="4" t="s">
        <v>278</v>
      </c>
      <c r="E26" s="4" t="s">
        <v>270</v>
      </c>
    </row>
    <row r="27" customFormat="false" ht="23.85" hidden="false" customHeight="false" outlineLevel="0" collapsed="false">
      <c r="A27" s="4" t="s">
        <v>81</v>
      </c>
      <c r="B27" s="4" t="s">
        <v>255</v>
      </c>
      <c r="C27" s="4" t="s">
        <v>286</v>
      </c>
      <c r="D27" s="4" t="s">
        <v>257</v>
      </c>
      <c r="E27" s="4" t="s">
        <v>258</v>
      </c>
    </row>
    <row r="28" customFormat="false" ht="23.85" hidden="false" customHeight="false" outlineLevel="0" collapsed="false">
      <c r="A28" s="4" t="s">
        <v>81</v>
      </c>
      <c r="B28" s="4" t="s">
        <v>259</v>
      </c>
      <c r="C28" s="4" t="s">
        <v>260</v>
      </c>
      <c r="D28" s="4" t="s">
        <v>261</v>
      </c>
      <c r="E28" s="4" t="s">
        <v>262</v>
      </c>
    </row>
    <row r="29" customFormat="false" ht="23.85" hidden="false" customHeight="false" outlineLevel="0" collapsed="false">
      <c r="A29" s="4" t="s">
        <v>81</v>
      </c>
      <c r="B29" s="4" t="s">
        <v>263</v>
      </c>
      <c r="C29" s="4" t="s">
        <v>264</v>
      </c>
      <c r="D29" s="4" t="s">
        <v>265</v>
      </c>
      <c r="E29" s="4" t="s">
        <v>266</v>
      </c>
    </row>
    <row r="30" customFormat="false" ht="15" hidden="false" customHeight="false" outlineLevel="0" collapsed="false">
      <c r="A30" s="4" t="s">
        <v>81</v>
      </c>
      <c r="B30" s="4" t="s">
        <v>267</v>
      </c>
      <c r="C30" s="4" t="s">
        <v>268</v>
      </c>
      <c r="D30" s="4" t="s">
        <v>269</v>
      </c>
      <c r="E30" s="4" t="s">
        <v>270</v>
      </c>
    </row>
    <row r="31" customFormat="false" ht="23.85" hidden="false" customHeight="false" outlineLevel="0" collapsed="false">
      <c r="A31" s="4" t="s">
        <v>81</v>
      </c>
      <c r="B31" s="4" t="s">
        <v>271</v>
      </c>
      <c r="C31" s="4" t="s">
        <v>272</v>
      </c>
      <c r="D31" s="4" t="s">
        <v>273</v>
      </c>
      <c r="E31" s="4" t="s">
        <v>266</v>
      </c>
    </row>
    <row r="32" customFormat="false" ht="15" hidden="false" customHeight="false" outlineLevel="0" collapsed="false">
      <c r="A32" s="4" t="s">
        <v>81</v>
      </c>
      <c r="B32" s="4" t="s">
        <v>274</v>
      </c>
      <c r="C32" s="4" t="s">
        <v>31</v>
      </c>
      <c r="D32" s="4" t="s">
        <v>275</v>
      </c>
      <c r="E32" s="4" t="s">
        <v>274</v>
      </c>
    </row>
    <row r="33" customFormat="false" ht="23.85" hidden="false" customHeight="false" outlineLevel="0" collapsed="false">
      <c r="A33" s="4" t="s">
        <v>81</v>
      </c>
      <c r="B33" s="4" t="s">
        <v>276</v>
      </c>
      <c r="C33" s="4" t="s">
        <v>277</v>
      </c>
      <c r="D33" s="4" t="s">
        <v>278</v>
      </c>
      <c r="E33" s="4" t="s">
        <v>279</v>
      </c>
    </row>
    <row r="34" customFormat="false" ht="23.85" hidden="false" customHeight="false" outlineLevel="0" collapsed="false">
      <c r="A34" s="4" t="s">
        <v>81</v>
      </c>
      <c r="B34" s="4" t="s">
        <v>280</v>
      </c>
      <c r="C34" s="4" t="s">
        <v>281</v>
      </c>
      <c r="D34" s="4" t="s">
        <v>278</v>
      </c>
      <c r="E34" s="4" t="s">
        <v>270</v>
      </c>
    </row>
    <row r="35" customFormat="false" ht="23.85" hidden="false" customHeight="false" outlineLevel="0" collapsed="false">
      <c r="A35" s="4" t="s">
        <v>87</v>
      </c>
      <c r="B35" s="4" t="s">
        <v>255</v>
      </c>
      <c r="C35" s="4" t="s">
        <v>287</v>
      </c>
      <c r="D35" s="4" t="s">
        <v>257</v>
      </c>
      <c r="E35" s="4" t="s">
        <v>258</v>
      </c>
    </row>
    <row r="36" customFormat="false" ht="23.85" hidden="false" customHeight="false" outlineLevel="0" collapsed="false">
      <c r="A36" s="4" t="s">
        <v>87</v>
      </c>
      <c r="B36" s="4" t="s">
        <v>259</v>
      </c>
      <c r="C36" s="4" t="s">
        <v>260</v>
      </c>
      <c r="D36" s="4" t="s">
        <v>261</v>
      </c>
      <c r="E36" s="4" t="s">
        <v>262</v>
      </c>
    </row>
    <row r="37" customFormat="false" ht="23.85" hidden="false" customHeight="false" outlineLevel="0" collapsed="false">
      <c r="A37" s="4" t="s">
        <v>87</v>
      </c>
      <c r="B37" s="4" t="s">
        <v>263</v>
      </c>
      <c r="C37" s="4" t="s">
        <v>264</v>
      </c>
      <c r="D37" s="4" t="s">
        <v>265</v>
      </c>
      <c r="E37" s="4" t="s">
        <v>266</v>
      </c>
    </row>
    <row r="38" customFormat="false" ht="15" hidden="false" customHeight="false" outlineLevel="0" collapsed="false">
      <c r="A38" s="4" t="s">
        <v>87</v>
      </c>
      <c r="B38" s="4" t="s">
        <v>267</v>
      </c>
      <c r="C38" s="4" t="s">
        <v>268</v>
      </c>
      <c r="D38" s="4" t="s">
        <v>269</v>
      </c>
      <c r="E38" s="4" t="s">
        <v>270</v>
      </c>
    </row>
    <row r="39" customFormat="false" ht="23.85" hidden="false" customHeight="false" outlineLevel="0" collapsed="false">
      <c r="A39" s="4" t="s">
        <v>87</v>
      </c>
      <c r="B39" s="4" t="s">
        <v>271</v>
      </c>
      <c r="C39" s="4" t="s">
        <v>272</v>
      </c>
      <c r="D39" s="4" t="s">
        <v>273</v>
      </c>
      <c r="E39" s="4" t="s">
        <v>266</v>
      </c>
    </row>
    <row r="40" customFormat="false" ht="15" hidden="false" customHeight="false" outlineLevel="0" collapsed="false">
      <c r="A40" s="4" t="s">
        <v>87</v>
      </c>
      <c r="B40" s="4" t="s">
        <v>274</v>
      </c>
      <c r="C40" s="4" t="s">
        <v>35</v>
      </c>
      <c r="D40" s="4" t="s">
        <v>275</v>
      </c>
      <c r="E40" s="4" t="s">
        <v>274</v>
      </c>
    </row>
    <row r="41" customFormat="false" ht="23.85" hidden="false" customHeight="false" outlineLevel="0" collapsed="false">
      <c r="A41" s="4" t="s">
        <v>87</v>
      </c>
      <c r="B41" s="4" t="s">
        <v>276</v>
      </c>
      <c r="C41" s="4" t="s">
        <v>277</v>
      </c>
      <c r="D41" s="4" t="s">
        <v>278</v>
      </c>
      <c r="E41" s="4" t="s">
        <v>279</v>
      </c>
    </row>
    <row r="42" customFormat="false" ht="23.85" hidden="false" customHeight="false" outlineLevel="0" collapsed="false">
      <c r="A42" s="4" t="s">
        <v>87</v>
      </c>
      <c r="B42" s="4" t="s">
        <v>280</v>
      </c>
      <c r="C42" s="4" t="s">
        <v>281</v>
      </c>
      <c r="D42" s="4" t="s">
        <v>278</v>
      </c>
      <c r="E42" s="4" t="s">
        <v>270</v>
      </c>
    </row>
    <row r="43" customFormat="false" ht="23.85" hidden="false" customHeight="false" outlineLevel="0" collapsed="false">
      <c r="A43" s="4" t="s">
        <v>87</v>
      </c>
      <c r="B43" s="4" t="s">
        <v>288</v>
      </c>
      <c r="C43" s="4" t="s">
        <v>289</v>
      </c>
      <c r="D43" s="4" t="s">
        <v>278</v>
      </c>
      <c r="E43" s="4" t="s">
        <v>262</v>
      </c>
    </row>
  </sheetData>
  <autoFilter ref="A2:E43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62"/>
    <col collapsed="false" customWidth="true" hidden="false" outlineLevel="0" max="5" min="4" style="0" width="14"/>
    <col collapsed="false" customWidth="true" hidden="false" outlineLevel="0" max="6" min="6" style="0" width="30"/>
  </cols>
  <sheetData>
    <row r="1" customFormat="false" ht="30" hidden="false" customHeight="true" outlineLevel="0" collapsed="false">
      <c r="A1" s="6" t="s">
        <v>290</v>
      </c>
      <c r="B1" s="6"/>
      <c r="C1" s="6"/>
      <c r="D1" s="6"/>
      <c r="E1" s="6"/>
      <c r="F1" s="6"/>
    </row>
    <row r="2" customFormat="false" ht="35.05" hidden="false" customHeight="false" outlineLevel="0" collapsed="false">
      <c r="A2" s="3" t="s">
        <v>291</v>
      </c>
      <c r="B2" s="3" t="s">
        <v>292</v>
      </c>
      <c r="C2" s="3" t="s">
        <v>293</v>
      </c>
      <c r="D2" s="3" t="s">
        <v>294</v>
      </c>
      <c r="E2" s="3" t="s">
        <v>295</v>
      </c>
      <c r="F2" s="3" t="s">
        <v>296</v>
      </c>
    </row>
    <row r="3" customFormat="false" ht="15" hidden="false" customHeight="false" outlineLevel="0" collapsed="false">
      <c r="A3" s="4" t="s">
        <v>45</v>
      </c>
      <c r="B3" s="4" t="s">
        <v>297</v>
      </c>
      <c r="C3" s="4" t="s">
        <v>298</v>
      </c>
      <c r="D3" s="7" t="n">
        <v>-1</v>
      </c>
      <c r="E3" s="7"/>
      <c r="F3" s="4"/>
    </row>
    <row r="4" customFormat="false" ht="15" hidden="false" customHeight="false" outlineLevel="0" collapsed="false">
      <c r="A4" s="4" t="s">
        <v>45</v>
      </c>
      <c r="B4" s="4" t="s">
        <v>299</v>
      </c>
      <c r="C4" s="4" t="s">
        <v>300</v>
      </c>
      <c r="D4" s="7" t="n">
        <v>1</v>
      </c>
      <c r="E4" s="7" t="n">
        <v>1.5</v>
      </c>
      <c r="F4" s="4"/>
    </row>
    <row r="5" customFormat="false" ht="15" hidden="false" customHeight="false" outlineLevel="0" collapsed="false">
      <c r="A5" s="4" t="s">
        <v>45</v>
      </c>
      <c r="B5" s="4" t="s">
        <v>301</v>
      </c>
      <c r="C5" s="4" t="s">
        <v>302</v>
      </c>
      <c r="D5" s="7" t="n">
        <v>0.8</v>
      </c>
      <c r="E5" s="7" t="n">
        <v>0</v>
      </c>
      <c r="F5" s="4"/>
    </row>
    <row r="6" customFormat="false" ht="15" hidden="false" customHeight="false" outlineLevel="0" collapsed="false">
      <c r="A6" s="4" t="s">
        <v>45</v>
      </c>
      <c r="B6" s="4" t="s">
        <v>303</v>
      </c>
      <c r="C6" s="4" t="s">
        <v>304</v>
      </c>
      <c r="D6" s="7" t="n">
        <v>0</v>
      </c>
      <c r="E6" s="7" t="n">
        <v>0.5</v>
      </c>
      <c r="F6" s="4"/>
    </row>
    <row r="7" customFormat="false" ht="15" hidden="false" customHeight="false" outlineLevel="0" collapsed="false">
      <c r="A7" s="4" t="s">
        <v>45</v>
      </c>
      <c r="B7" s="4" t="s">
        <v>305</v>
      </c>
      <c r="C7" s="4" t="s">
        <v>306</v>
      </c>
      <c r="D7" s="7" t="n">
        <v>2.5</v>
      </c>
      <c r="E7" s="7" t="n">
        <v>0</v>
      </c>
      <c r="F7" s="4"/>
    </row>
    <row r="8" customFormat="false" ht="15" hidden="false" customHeight="false" outlineLevel="0" collapsed="false">
      <c r="A8" s="4" t="s">
        <v>45</v>
      </c>
      <c r="B8" s="4" t="s">
        <v>307</v>
      </c>
      <c r="C8" s="4" t="s">
        <v>308</v>
      </c>
      <c r="D8" s="7" t="n">
        <v>0.5</v>
      </c>
      <c r="E8" s="7" t="n">
        <v>0</v>
      </c>
      <c r="F8" s="4"/>
    </row>
    <row r="9" customFormat="false" ht="15" hidden="false" customHeight="false" outlineLevel="0" collapsed="false">
      <c r="A9" s="4" t="s">
        <v>45</v>
      </c>
      <c r="B9" s="4" t="s">
        <v>309</v>
      </c>
      <c r="C9" s="4" t="s">
        <v>310</v>
      </c>
      <c r="D9" s="7" t="n">
        <v>0</v>
      </c>
      <c r="E9" s="7" t="n">
        <v>3</v>
      </c>
      <c r="F9" s="4"/>
    </row>
    <row r="10" customFormat="false" ht="15" hidden="false" customHeight="false" outlineLevel="0" collapsed="false">
      <c r="A10" s="4" t="s">
        <v>45</v>
      </c>
      <c r="B10" s="4" t="s">
        <v>311</v>
      </c>
      <c r="C10" s="4" t="s">
        <v>312</v>
      </c>
      <c r="D10" s="7" t="n">
        <v>1</v>
      </c>
      <c r="E10" s="7" t="n">
        <v>0</v>
      </c>
      <c r="F10" s="4"/>
    </row>
    <row r="11" customFormat="false" ht="15" hidden="false" customHeight="false" outlineLevel="0" collapsed="false">
      <c r="A11" s="4" t="s">
        <v>45</v>
      </c>
      <c r="B11" s="4" t="s">
        <v>313</v>
      </c>
      <c r="C11" s="4" t="s">
        <v>314</v>
      </c>
      <c r="D11" s="7" t="n">
        <v>1.5</v>
      </c>
      <c r="E11" s="7" t="n">
        <v>2</v>
      </c>
      <c r="F11" s="4"/>
    </row>
    <row r="12" customFormat="false" ht="15" hidden="false" customHeight="false" outlineLevel="0" collapsed="false">
      <c r="A12" s="4" t="s">
        <v>45</v>
      </c>
      <c r="B12" s="4" t="s">
        <v>315</v>
      </c>
      <c r="C12" s="4" t="s">
        <v>316</v>
      </c>
      <c r="D12" s="7" t="n">
        <v>0</v>
      </c>
      <c r="E12" s="7" t="n">
        <v>1.5</v>
      </c>
      <c r="F12" s="4"/>
    </row>
    <row r="13" customFormat="false" ht="15" hidden="false" customHeight="false" outlineLevel="0" collapsed="false">
      <c r="A13" s="4" t="s">
        <v>317</v>
      </c>
      <c r="B13" s="4" t="s">
        <v>297</v>
      </c>
      <c r="C13" s="4" t="s">
        <v>298</v>
      </c>
      <c r="D13" s="7" t="n">
        <v>-1</v>
      </c>
      <c r="E13" s="7"/>
      <c r="F13" s="4"/>
    </row>
    <row r="14" customFormat="false" ht="15" hidden="false" customHeight="false" outlineLevel="0" collapsed="false">
      <c r="A14" s="4" t="s">
        <v>317</v>
      </c>
      <c r="B14" s="4" t="s">
        <v>299</v>
      </c>
      <c r="C14" s="4" t="s">
        <v>300</v>
      </c>
      <c r="D14" s="7" t="n">
        <v>1</v>
      </c>
      <c r="E14" s="7" t="n">
        <v>1.5</v>
      </c>
      <c r="F14" s="4"/>
    </row>
    <row r="15" customFormat="false" ht="15" hidden="false" customHeight="false" outlineLevel="0" collapsed="false">
      <c r="A15" s="4" t="s">
        <v>317</v>
      </c>
      <c r="B15" s="4" t="s">
        <v>301</v>
      </c>
      <c r="C15" s="4" t="s">
        <v>302</v>
      </c>
      <c r="D15" s="7" t="n">
        <v>0.8</v>
      </c>
      <c r="E15" s="7" t="n">
        <v>0</v>
      </c>
      <c r="F15" s="4"/>
    </row>
    <row r="16" customFormat="false" ht="15" hidden="false" customHeight="false" outlineLevel="0" collapsed="false">
      <c r="A16" s="4" t="s">
        <v>317</v>
      </c>
      <c r="B16" s="4" t="s">
        <v>303</v>
      </c>
      <c r="C16" s="4" t="s">
        <v>304</v>
      </c>
      <c r="D16" s="7" t="n">
        <v>0</v>
      </c>
      <c r="E16" s="7" t="n">
        <v>0.5</v>
      </c>
      <c r="F16" s="4"/>
    </row>
    <row r="17" customFormat="false" ht="15" hidden="false" customHeight="false" outlineLevel="0" collapsed="false">
      <c r="A17" s="4" t="s">
        <v>317</v>
      </c>
      <c r="B17" s="4" t="s">
        <v>318</v>
      </c>
      <c r="C17" s="4" t="s">
        <v>319</v>
      </c>
      <c r="D17" s="7" t="n">
        <v>0.8</v>
      </c>
      <c r="E17" s="7" t="n">
        <v>1.5</v>
      </c>
      <c r="F17" s="4"/>
    </row>
    <row r="18" customFormat="false" ht="15" hidden="false" customHeight="false" outlineLevel="0" collapsed="false">
      <c r="A18" s="4" t="s">
        <v>317</v>
      </c>
      <c r="B18" s="4" t="s">
        <v>320</v>
      </c>
      <c r="C18" s="4" t="s">
        <v>321</v>
      </c>
      <c r="D18" s="7" t="n">
        <v>2</v>
      </c>
      <c r="E18" s="7" t="n">
        <v>0</v>
      </c>
      <c r="F18" s="4"/>
    </row>
    <row r="19" customFormat="false" ht="15" hidden="false" customHeight="false" outlineLevel="0" collapsed="false">
      <c r="A19" s="4" t="s">
        <v>317</v>
      </c>
      <c r="B19" s="4" t="s">
        <v>322</v>
      </c>
      <c r="C19" s="4" t="s">
        <v>323</v>
      </c>
      <c r="D19" s="7" t="n">
        <v>2.5</v>
      </c>
      <c r="E19" s="7" t="n">
        <v>0</v>
      </c>
      <c r="F19" s="4"/>
    </row>
    <row r="20" customFormat="false" ht="15" hidden="false" customHeight="false" outlineLevel="0" collapsed="false">
      <c r="A20" s="4" t="s">
        <v>317</v>
      </c>
      <c r="B20" s="4" t="s">
        <v>324</v>
      </c>
      <c r="C20" s="4" t="s">
        <v>325</v>
      </c>
      <c r="D20" s="7" t="n">
        <v>0</v>
      </c>
      <c r="E20" s="7" t="n">
        <v>0.7</v>
      </c>
      <c r="F20" s="4"/>
    </row>
    <row r="21" customFormat="false" ht="15" hidden="false" customHeight="false" outlineLevel="0" collapsed="false">
      <c r="A21" s="4" t="s">
        <v>317</v>
      </c>
      <c r="B21" s="4" t="s">
        <v>326</v>
      </c>
      <c r="C21" s="4" t="s">
        <v>327</v>
      </c>
      <c r="D21" s="7" t="n">
        <v>1.5</v>
      </c>
      <c r="E21" s="7" t="n">
        <v>2</v>
      </c>
      <c r="F21" s="4"/>
    </row>
    <row r="22" customFormat="false" ht="15" hidden="false" customHeight="false" outlineLevel="0" collapsed="false">
      <c r="A22" s="4" t="s">
        <v>317</v>
      </c>
      <c r="B22" s="4" t="s">
        <v>328</v>
      </c>
      <c r="C22" s="4" t="s">
        <v>329</v>
      </c>
      <c r="D22" s="7" t="n">
        <v>1.5</v>
      </c>
      <c r="E22" s="7" t="n">
        <v>0</v>
      </c>
      <c r="F22" s="4"/>
    </row>
    <row r="23" customFormat="false" ht="15" hidden="false" customHeight="false" outlineLevel="0" collapsed="false">
      <c r="A23" s="4" t="s">
        <v>70</v>
      </c>
      <c r="B23" s="4" t="s">
        <v>297</v>
      </c>
      <c r="C23" s="4" t="s">
        <v>298</v>
      </c>
      <c r="D23" s="7" t="n">
        <v>-1</v>
      </c>
      <c r="E23" s="7"/>
      <c r="F23" s="4"/>
    </row>
    <row r="24" customFormat="false" ht="15" hidden="false" customHeight="false" outlineLevel="0" collapsed="false">
      <c r="A24" s="4" t="s">
        <v>70</v>
      </c>
      <c r="B24" s="4" t="s">
        <v>299</v>
      </c>
      <c r="C24" s="4" t="s">
        <v>300</v>
      </c>
      <c r="D24" s="7" t="n">
        <v>1</v>
      </c>
      <c r="E24" s="7" t="n">
        <v>1</v>
      </c>
      <c r="F24" s="4"/>
    </row>
    <row r="25" customFormat="false" ht="15" hidden="false" customHeight="false" outlineLevel="0" collapsed="false">
      <c r="A25" s="4" t="s">
        <v>70</v>
      </c>
      <c r="B25" s="4" t="s">
        <v>301</v>
      </c>
      <c r="C25" s="4" t="s">
        <v>302</v>
      </c>
      <c r="D25" s="7" t="n">
        <v>0.8</v>
      </c>
      <c r="E25" s="7" t="n">
        <v>0</v>
      </c>
      <c r="F25" s="4"/>
    </row>
    <row r="26" customFormat="false" ht="15" hidden="false" customHeight="false" outlineLevel="0" collapsed="false">
      <c r="A26" s="4" t="s">
        <v>70</v>
      </c>
      <c r="B26" s="4" t="s">
        <v>303</v>
      </c>
      <c r="C26" s="4" t="s">
        <v>304</v>
      </c>
      <c r="D26" s="7" t="n">
        <v>0</v>
      </c>
      <c r="E26" s="7" t="n">
        <v>0.5</v>
      </c>
      <c r="F26" s="4"/>
    </row>
    <row r="27" customFormat="false" ht="15" hidden="false" customHeight="false" outlineLevel="0" collapsed="false">
      <c r="A27" s="4" t="s">
        <v>70</v>
      </c>
      <c r="B27" s="4" t="s">
        <v>330</v>
      </c>
      <c r="C27" s="4" t="s">
        <v>331</v>
      </c>
      <c r="D27" s="7" t="n">
        <v>1.5</v>
      </c>
      <c r="E27" s="7" t="n">
        <v>2</v>
      </c>
      <c r="F27" s="4"/>
    </row>
    <row r="28" customFormat="false" ht="15" hidden="false" customHeight="false" outlineLevel="0" collapsed="false">
      <c r="A28" s="4" t="s">
        <v>70</v>
      </c>
      <c r="B28" s="4" t="s">
        <v>332</v>
      </c>
      <c r="C28" s="4" t="s">
        <v>333</v>
      </c>
      <c r="D28" s="7" t="n">
        <v>1.5</v>
      </c>
      <c r="E28" s="7" t="n">
        <v>1.5</v>
      </c>
      <c r="F28" s="4"/>
    </row>
    <row r="29" customFormat="false" ht="15" hidden="false" customHeight="false" outlineLevel="0" collapsed="false">
      <c r="A29" s="4" t="s">
        <v>70</v>
      </c>
      <c r="B29" s="4" t="s">
        <v>334</v>
      </c>
      <c r="C29" s="4" t="s">
        <v>335</v>
      </c>
      <c r="D29" s="7" t="n">
        <v>0.3</v>
      </c>
      <c r="E29" s="7" t="n">
        <v>0</v>
      </c>
      <c r="F29" s="4"/>
    </row>
    <row r="30" customFormat="false" ht="15" hidden="false" customHeight="false" outlineLevel="0" collapsed="false">
      <c r="A30" s="4" t="s">
        <v>82</v>
      </c>
      <c r="B30" s="4" t="s">
        <v>297</v>
      </c>
      <c r="C30" s="4" t="s">
        <v>298</v>
      </c>
      <c r="D30" s="7" t="n">
        <v>-1</v>
      </c>
      <c r="E30" s="7"/>
      <c r="F30" s="4"/>
    </row>
    <row r="31" customFormat="false" ht="15" hidden="false" customHeight="false" outlineLevel="0" collapsed="false">
      <c r="A31" s="4" t="s">
        <v>82</v>
      </c>
      <c r="B31" s="4" t="s">
        <v>299</v>
      </c>
      <c r="C31" s="4" t="s">
        <v>300</v>
      </c>
      <c r="D31" s="7" t="n">
        <v>1</v>
      </c>
      <c r="E31" s="7" t="n">
        <v>1</v>
      </c>
      <c r="F31" s="4"/>
    </row>
    <row r="32" customFormat="false" ht="15" hidden="false" customHeight="false" outlineLevel="0" collapsed="false">
      <c r="A32" s="4" t="s">
        <v>82</v>
      </c>
      <c r="B32" s="4" t="s">
        <v>301</v>
      </c>
      <c r="C32" s="4" t="s">
        <v>302</v>
      </c>
      <c r="D32" s="7" t="n">
        <v>0.8</v>
      </c>
      <c r="E32" s="7" t="n">
        <v>0</v>
      </c>
      <c r="F32" s="4"/>
    </row>
    <row r="33" customFormat="false" ht="15" hidden="false" customHeight="false" outlineLevel="0" collapsed="false">
      <c r="A33" s="4" t="s">
        <v>82</v>
      </c>
      <c r="B33" s="4" t="s">
        <v>303</v>
      </c>
      <c r="C33" s="4" t="s">
        <v>304</v>
      </c>
      <c r="D33" s="7" t="n">
        <v>0</v>
      </c>
      <c r="E33" s="7" t="n">
        <v>0.5</v>
      </c>
      <c r="F33" s="4"/>
    </row>
    <row r="34" customFormat="false" ht="15" hidden="false" customHeight="false" outlineLevel="0" collapsed="false">
      <c r="A34" s="4" t="s">
        <v>82</v>
      </c>
      <c r="B34" s="4" t="s">
        <v>336</v>
      </c>
      <c r="C34" s="4" t="s">
        <v>337</v>
      </c>
      <c r="D34" s="7" t="n">
        <v>2.5</v>
      </c>
      <c r="E34" s="7" t="n">
        <v>0</v>
      </c>
      <c r="F34" s="4"/>
    </row>
    <row r="35" customFormat="false" ht="15" hidden="false" customHeight="false" outlineLevel="0" collapsed="false">
      <c r="A35" s="4" t="s">
        <v>82</v>
      </c>
      <c r="B35" s="4" t="s">
        <v>338</v>
      </c>
      <c r="C35" s="4" t="s">
        <v>339</v>
      </c>
      <c r="D35" s="7" t="n">
        <v>1.5</v>
      </c>
      <c r="E35" s="7" t="n">
        <v>1.5</v>
      </c>
      <c r="F35" s="4"/>
    </row>
    <row r="36" customFormat="false" ht="15" hidden="false" customHeight="false" outlineLevel="0" collapsed="false">
      <c r="A36" s="4" t="s">
        <v>82</v>
      </c>
      <c r="B36" s="4" t="s">
        <v>340</v>
      </c>
      <c r="C36" s="4" t="s">
        <v>341</v>
      </c>
      <c r="D36" s="7" t="n">
        <v>0</v>
      </c>
      <c r="E36" s="7" t="n">
        <v>2.5</v>
      </c>
      <c r="F36" s="4"/>
    </row>
    <row r="37" customFormat="false" ht="15" hidden="false" customHeight="false" outlineLevel="0" collapsed="false">
      <c r="A37" s="4" t="s">
        <v>82</v>
      </c>
      <c r="B37" s="4" t="s">
        <v>342</v>
      </c>
      <c r="C37" s="4" t="s">
        <v>343</v>
      </c>
      <c r="D37" s="7" t="n">
        <v>1</v>
      </c>
      <c r="E37" s="7" t="n">
        <v>0</v>
      </c>
      <c r="F37" s="4"/>
    </row>
    <row r="38" customFormat="false" ht="15" hidden="false" customHeight="false" outlineLevel="0" collapsed="false">
      <c r="A38" s="4" t="s">
        <v>88</v>
      </c>
      <c r="B38" s="4" t="s">
        <v>297</v>
      </c>
      <c r="C38" s="4" t="s">
        <v>298</v>
      </c>
      <c r="D38" s="7" t="n">
        <v>0</v>
      </c>
      <c r="E38" s="7"/>
      <c r="F38" s="4"/>
    </row>
    <row r="39" customFormat="false" ht="15" hidden="false" customHeight="false" outlineLevel="0" collapsed="false">
      <c r="A39" s="4" t="s">
        <v>88</v>
      </c>
      <c r="B39" s="4" t="s">
        <v>303</v>
      </c>
      <c r="C39" s="4" t="s">
        <v>304</v>
      </c>
      <c r="D39" s="7" t="n">
        <v>0</v>
      </c>
      <c r="E39" s="7" t="n">
        <v>0.5</v>
      </c>
      <c r="F39" s="4"/>
    </row>
    <row r="40" customFormat="false" ht="15" hidden="false" customHeight="false" outlineLevel="0" collapsed="false">
      <c r="A40" s="4" t="s">
        <v>88</v>
      </c>
      <c r="B40" s="4" t="s">
        <v>344</v>
      </c>
      <c r="C40" s="4" t="s">
        <v>345</v>
      </c>
      <c r="D40" s="7" t="n">
        <v>1.5</v>
      </c>
      <c r="E40" s="7" t="n">
        <v>0.5</v>
      </c>
      <c r="F40" s="4"/>
    </row>
    <row r="41" customFormat="false" ht="15" hidden="false" customHeight="false" outlineLevel="0" collapsed="false">
      <c r="A41" s="4" t="s">
        <v>88</v>
      </c>
      <c r="B41" s="4" t="s">
        <v>346</v>
      </c>
      <c r="C41" s="4" t="s">
        <v>347</v>
      </c>
      <c r="D41" s="7" t="n">
        <v>2</v>
      </c>
      <c r="E41" s="7" t="n">
        <v>1.5</v>
      </c>
      <c r="F41" s="4"/>
    </row>
    <row r="42" customFormat="false" ht="15" hidden="false" customHeight="false" outlineLevel="0" collapsed="false">
      <c r="A42" s="4" t="s">
        <v>88</v>
      </c>
      <c r="B42" s="4" t="s">
        <v>348</v>
      </c>
      <c r="C42" s="4" t="s">
        <v>349</v>
      </c>
      <c r="D42" s="7" t="n">
        <v>1</v>
      </c>
      <c r="E42" s="7" t="n">
        <v>0</v>
      </c>
      <c r="F42" s="4"/>
    </row>
  </sheetData>
  <autoFilter ref="A2:F42"/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90"/>
    <col collapsed="false" customWidth="true" hidden="false" outlineLevel="0" max="4" min="4" style="0" width="26"/>
  </cols>
  <sheetData>
    <row r="1" customFormat="false" ht="30" hidden="false" customHeight="true" outlineLevel="0" collapsed="false">
      <c r="A1" s="6" t="s">
        <v>350</v>
      </c>
      <c r="B1" s="6"/>
      <c r="C1" s="6"/>
      <c r="D1" s="6"/>
    </row>
    <row r="2" customFormat="false" ht="15" hidden="false" customHeight="false" outlineLevel="0" collapsed="false">
      <c r="A2" s="3" t="s">
        <v>351</v>
      </c>
      <c r="B2" s="3" t="s">
        <v>352</v>
      </c>
      <c r="C2" s="3" t="s">
        <v>353</v>
      </c>
      <c r="D2" s="3" t="s">
        <v>354</v>
      </c>
    </row>
    <row r="3" customFormat="false" ht="23.85" hidden="false" customHeight="false" outlineLevel="0" collapsed="false">
      <c r="A3" s="4" t="s">
        <v>355</v>
      </c>
      <c r="B3" s="4" t="s">
        <v>356</v>
      </c>
      <c r="C3" s="4" t="s">
        <v>357</v>
      </c>
      <c r="D3" s="4" t="s">
        <v>358</v>
      </c>
    </row>
    <row r="4" customFormat="false" ht="23.85" hidden="false" customHeight="false" outlineLevel="0" collapsed="false">
      <c r="A4" s="4" t="s">
        <v>359</v>
      </c>
      <c r="B4" s="4" t="s">
        <v>360</v>
      </c>
      <c r="C4" s="4" t="s">
        <v>361</v>
      </c>
      <c r="D4" s="4" t="s">
        <v>362</v>
      </c>
    </row>
    <row r="5" customFormat="false" ht="23.85" hidden="false" customHeight="false" outlineLevel="0" collapsed="false">
      <c r="A5" s="4" t="s">
        <v>363</v>
      </c>
      <c r="B5" s="4" t="s">
        <v>356</v>
      </c>
      <c r="C5" s="4" t="s">
        <v>364</v>
      </c>
      <c r="D5" s="4" t="s">
        <v>365</v>
      </c>
    </row>
    <row r="6" customFormat="false" ht="23.85" hidden="false" customHeight="false" outlineLevel="0" collapsed="false">
      <c r="A6" s="4" t="s">
        <v>366</v>
      </c>
      <c r="B6" s="4" t="s">
        <v>356</v>
      </c>
      <c r="C6" s="4" t="s">
        <v>367</v>
      </c>
      <c r="D6" s="4" t="s">
        <v>368</v>
      </c>
    </row>
    <row r="7" customFormat="false" ht="23.85" hidden="false" customHeight="false" outlineLevel="0" collapsed="false">
      <c r="A7" s="4" t="s">
        <v>369</v>
      </c>
      <c r="B7" s="4" t="s">
        <v>356</v>
      </c>
      <c r="C7" s="4" t="s">
        <v>370</v>
      </c>
      <c r="D7" s="4" t="s">
        <v>371</v>
      </c>
    </row>
    <row r="8" customFormat="false" ht="23.85" hidden="false" customHeight="false" outlineLevel="0" collapsed="false">
      <c r="A8" s="4" t="s">
        <v>372</v>
      </c>
      <c r="B8" s="4" t="s">
        <v>44</v>
      </c>
      <c r="C8" s="4" t="s">
        <v>373</v>
      </c>
      <c r="D8" s="4" t="s">
        <v>374</v>
      </c>
    </row>
    <row r="9" customFormat="false" ht="23.85" hidden="false" customHeight="false" outlineLevel="0" collapsed="false">
      <c r="A9" s="4" t="s">
        <v>375</v>
      </c>
      <c r="B9" s="4" t="s">
        <v>101</v>
      </c>
      <c r="C9" s="4" t="s">
        <v>376</v>
      </c>
      <c r="D9" s="4" t="s">
        <v>377</v>
      </c>
    </row>
    <row r="10" customFormat="false" ht="23.85" hidden="false" customHeight="false" outlineLevel="0" collapsed="false">
      <c r="A10" s="4" t="s">
        <v>378</v>
      </c>
      <c r="B10" s="4" t="s">
        <v>44</v>
      </c>
      <c r="C10" s="4" t="s">
        <v>379</v>
      </c>
      <c r="D10" s="4" t="s">
        <v>380</v>
      </c>
    </row>
    <row r="11" customFormat="false" ht="23.85" hidden="false" customHeight="false" outlineLevel="0" collapsed="false">
      <c r="A11" s="4" t="s">
        <v>381</v>
      </c>
      <c r="B11" s="4" t="s">
        <v>53</v>
      </c>
      <c r="C11" s="4" t="s">
        <v>382</v>
      </c>
      <c r="D11" s="4" t="s">
        <v>383</v>
      </c>
    </row>
    <row r="12" customFormat="false" ht="23.85" hidden="false" customHeight="false" outlineLevel="0" collapsed="false">
      <c r="A12" s="4" t="s">
        <v>384</v>
      </c>
      <c r="B12" s="4" t="s">
        <v>101</v>
      </c>
      <c r="C12" s="4" t="s">
        <v>385</v>
      </c>
      <c r="D12" s="4" t="s">
        <v>386</v>
      </c>
    </row>
    <row r="13" customFormat="false" ht="15" hidden="false" customHeight="false" outlineLevel="0" collapsed="false">
      <c r="A13" s="4" t="s">
        <v>387</v>
      </c>
      <c r="B13" s="4" t="s">
        <v>81</v>
      </c>
      <c r="C13" s="4" t="s">
        <v>388</v>
      </c>
      <c r="D13" s="4" t="s">
        <v>380</v>
      </c>
    </row>
    <row r="14" customFormat="false" ht="15" hidden="false" customHeight="false" outlineLevel="0" collapsed="false">
      <c r="A14" s="4" t="s">
        <v>389</v>
      </c>
      <c r="B14" s="4" t="s">
        <v>87</v>
      </c>
      <c r="C14" s="4" t="s">
        <v>390</v>
      </c>
      <c r="D14" s="4" t="s">
        <v>391</v>
      </c>
    </row>
    <row r="15" customFormat="false" ht="23.85" hidden="false" customHeight="false" outlineLevel="0" collapsed="false">
      <c r="A15" s="4" t="s">
        <v>392</v>
      </c>
      <c r="B15" s="4" t="s">
        <v>393</v>
      </c>
      <c r="C15" s="4" t="s">
        <v>394</v>
      </c>
      <c r="D15" s="4" t="s">
        <v>395</v>
      </c>
    </row>
    <row r="16" customFormat="false" ht="23.85" hidden="false" customHeight="false" outlineLevel="0" collapsed="false">
      <c r="A16" s="4" t="s">
        <v>396</v>
      </c>
      <c r="B16" s="4" t="s">
        <v>397</v>
      </c>
      <c r="C16" s="4" t="s">
        <v>398</v>
      </c>
      <c r="D16" s="4" t="s">
        <v>395</v>
      </c>
    </row>
    <row r="17" customFormat="false" ht="23.85" hidden="false" customHeight="false" outlineLevel="0" collapsed="false">
      <c r="A17" s="4" t="s">
        <v>399</v>
      </c>
      <c r="B17" s="4" t="s">
        <v>400</v>
      </c>
      <c r="C17" s="4" t="s">
        <v>401</v>
      </c>
      <c r="D17" s="4" t="s">
        <v>402</v>
      </c>
    </row>
  </sheetData>
  <autoFilter ref="A2:D17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70"/>
    <col collapsed="false" customWidth="true" hidden="false" outlineLevel="0" max="4" min="4" style="0" width="20"/>
    <col collapsed="false" customWidth="true" hidden="false" outlineLevel="0" max="5" min="5" style="0" width="22"/>
  </cols>
  <sheetData>
    <row r="1" customFormat="false" ht="30" hidden="false" customHeight="true" outlineLevel="0" collapsed="false">
      <c r="A1" s="6" t="s">
        <v>403</v>
      </c>
      <c r="B1" s="6"/>
      <c r="C1" s="6"/>
      <c r="D1" s="6"/>
      <c r="E1" s="6"/>
    </row>
    <row r="2" customFormat="false" ht="15" hidden="false" customHeight="false" outlineLevel="0" collapsed="false">
      <c r="A2" s="3" t="s">
        <v>404</v>
      </c>
      <c r="B2" s="3" t="s">
        <v>405</v>
      </c>
      <c r="C2" s="3" t="s">
        <v>406</v>
      </c>
      <c r="D2" s="3" t="s">
        <v>407</v>
      </c>
      <c r="E2" s="3" t="s">
        <v>408</v>
      </c>
    </row>
    <row r="3" customFormat="false" ht="15" hidden="false" customHeight="false" outlineLevel="0" collapsed="false">
      <c r="A3" s="4" t="s">
        <v>409</v>
      </c>
      <c r="B3" s="4" t="s">
        <v>410</v>
      </c>
      <c r="C3" s="4" t="s">
        <v>411</v>
      </c>
      <c r="D3" s="4" t="s">
        <v>14</v>
      </c>
      <c r="E3" s="4" t="s">
        <v>412</v>
      </c>
    </row>
    <row r="4" customFormat="false" ht="15" hidden="false" customHeight="false" outlineLevel="0" collapsed="false">
      <c r="A4" s="4" t="s">
        <v>413</v>
      </c>
      <c r="B4" s="4" t="s">
        <v>410</v>
      </c>
      <c r="C4" s="4" t="s">
        <v>414</v>
      </c>
      <c r="D4" s="4" t="s">
        <v>14</v>
      </c>
      <c r="E4" s="4" t="s">
        <v>415</v>
      </c>
    </row>
    <row r="5" customFormat="false" ht="15" hidden="false" customHeight="false" outlineLevel="0" collapsed="false">
      <c r="A5" s="4" t="s">
        <v>416</v>
      </c>
      <c r="B5" s="4" t="s">
        <v>410</v>
      </c>
      <c r="C5" s="4" t="s">
        <v>417</v>
      </c>
      <c r="D5" s="4" t="s">
        <v>14</v>
      </c>
      <c r="E5" s="4" t="s">
        <v>418</v>
      </c>
    </row>
    <row r="6" customFormat="false" ht="15" hidden="false" customHeight="false" outlineLevel="0" collapsed="false">
      <c r="A6" s="4" t="s">
        <v>419</v>
      </c>
      <c r="B6" s="4" t="s">
        <v>420</v>
      </c>
      <c r="C6" s="4" t="s">
        <v>421</v>
      </c>
      <c r="D6" s="4" t="s">
        <v>14</v>
      </c>
      <c r="E6" s="4" t="s">
        <v>422</v>
      </c>
    </row>
    <row r="7" customFormat="false" ht="15" hidden="false" customHeight="false" outlineLevel="0" collapsed="false">
      <c r="A7" s="4" t="s">
        <v>423</v>
      </c>
      <c r="B7" s="4" t="s">
        <v>420</v>
      </c>
      <c r="C7" s="4" t="s">
        <v>424</v>
      </c>
      <c r="D7" s="4" t="s">
        <v>14</v>
      </c>
      <c r="E7" s="4" t="s">
        <v>415</v>
      </c>
    </row>
    <row r="8" customFormat="false" ht="15" hidden="false" customHeight="false" outlineLevel="0" collapsed="false">
      <c r="A8" s="4" t="s">
        <v>425</v>
      </c>
      <c r="B8" s="4" t="s">
        <v>420</v>
      </c>
      <c r="C8" s="4" t="s">
        <v>426</v>
      </c>
      <c r="D8" s="4" t="s">
        <v>14</v>
      </c>
      <c r="E8" s="4" t="s">
        <v>415</v>
      </c>
    </row>
    <row r="9" customFormat="false" ht="15" hidden="false" customHeight="false" outlineLevel="0" collapsed="false">
      <c r="A9" s="4" t="s">
        <v>427</v>
      </c>
      <c r="B9" s="4" t="s">
        <v>428</v>
      </c>
      <c r="C9" s="4" t="s">
        <v>429</v>
      </c>
      <c r="D9" s="4" t="s">
        <v>14</v>
      </c>
      <c r="E9" s="4" t="s">
        <v>415</v>
      </c>
    </row>
    <row r="10" customFormat="false" ht="15" hidden="false" customHeight="false" outlineLevel="0" collapsed="false">
      <c r="A10" s="4" t="s">
        <v>430</v>
      </c>
      <c r="B10" s="4" t="s">
        <v>428</v>
      </c>
      <c r="C10" s="4" t="s">
        <v>431</v>
      </c>
      <c r="D10" s="4" t="s">
        <v>432</v>
      </c>
      <c r="E10" s="4" t="s">
        <v>14</v>
      </c>
    </row>
    <row r="11" customFormat="false" ht="15" hidden="false" customHeight="false" outlineLevel="0" collapsed="false">
      <c r="A11" s="4" t="s">
        <v>433</v>
      </c>
      <c r="B11" s="4" t="s">
        <v>428</v>
      </c>
      <c r="C11" s="4" t="s">
        <v>434</v>
      </c>
      <c r="D11" s="4" t="s">
        <v>415</v>
      </c>
      <c r="E11" s="4" t="s">
        <v>435</v>
      </c>
    </row>
    <row r="12" customFormat="false" ht="15" hidden="false" customHeight="false" outlineLevel="0" collapsed="false">
      <c r="A12" s="4" t="s">
        <v>436</v>
      </c>
      <c r="B12" s="4" t="s">
        <v>437</v>
      </c>
      <c r="C12" s="4" t="s">
        <v>438</v>
      </c>
      <c r="D12" s="4" t="s">
        <v>14</v>
      </c>
      <c r="E12" s="4" t="s">
        <v>415</v>
      </c>
    </row>
    <row r="13" customFormat="false" ht="23.85" hidden="false" customHeight="false" outlineLevel="0" collapsed="false">
      <c r="A13" s="4" t="s">
        <v>439</v>
      </c>
      <c r="B13" s="4" t="s">
        <v>440</v>
      </c>
      <c r="C13" s="4" t="s">
        <v>441</v>
      </c>
      <c r="D13" s="4" t="s">
        <v>442</v>
      </c>
      <c r="E13" s="4" t="s">
        <v>443</v>
      </c>
    </row>
    <row r="14" customFormat="false" ht="15" hidden="false" customHeight="false" outlineLevel="0" collapsed="false">
      <c r="A14" s="4" t="s">
        <v>444</v>
      </c>
      <c r="B14" s="4" t="s">
        <v>440</v>
      </c>
      <c r="C14" s="4" t="s">
        <v>445</v>
      </c>
      <c r="D14" s="4" t="s">
        <v>442</v>
      </c>
      <c r="E14" s="4" t="s">
        <v>443</v>
      </c>
    </row>
    <row r="15" customFormat="false" ht="15" hidden="false" customHeight="false" outlineLevel="0" collapsed="false">
      <c r="A15" s="4" t="s">
        <v>446</v>
      </c>
      <c r="B15" s="4" t="s">
        <v>447</v>
      </c>
      <c r="C15" s="4" t="s">
        <v>448</v>
      </c>
      <c r="D15" s="4" t="s">
        <v>14</v>
      </c>
      <c r="E15" s="4" t="s">
        <v>449</v>
      </c>
    </row>
    <row r="16" customFormat="false" ht="15" hidden="false" customHeight="false" outlineLevel="0" collapsed="false">
      <c r="A16" s="4" t="s">
        <v>450</v>
      </c>
      <c r="B16" s="4" t="s">
        <v>447</v>
      </c>
      <c r="C16" s="4" t="s">
        <v>451</v>
      </c>
      <c r="D16" s="4" t="s">
        <v>452</v>
      </c>
      <c r="E16" s="4" t="s">
        <v>14</v>
      </c>
    </row>
    <row r="17" customFormat="false" ht="15" hidden="false" customHeight="false" outlineLevel="0" collapsed="false">
      <c r="A17" s="4" t="s">
        <v>453</v>
      </c>
      <c r="B17" s="4" t="s">
        <v>454</v>
      </c>
      <c r="C17" s="4" t="s">
        <v>455</v>
      </c>
      <c r="D17" s="4" t="s">
        <v>456</v>
      </c>
      <c r="E17" s="4" t="s">
        <v>14</v>
      </c>
    </row>
    <row r="18" customFormat="false" ht="15" hidden="false" customHeight="false" outlineLevel="0" collapsed="false">
      <c r="A18" s="4" t="s">
        <v>457</v>
      </c>
      <c r="B18" s="4" t="s">
        <v>454</v>
      </c>
      <c r="C18" s="4" t="s">
        <v>458</v>
      </c>
      <c r="D18" s="4" t="s">
        <v>459</v>
      </c>
      <c r="E18" s="4" t="s">
        <v>14</v>
      </c>
    </row>
    <row r="19" customFormat="false" ht="15" hidden="false" customHeight="false" outlineLevel="0" collapsed="false">
      <c r="A19" s="4" t="s">
        <v>460</v>
      </c>
      <c r="B19" s="4" t="s">
        <v>365</v>
      </c>
      <c r="C19" s="4" t="s">
        <v>461</v>
      </c>
      <c r="D19" s="4" t="s">
        <v>462</v>
      </c>
      <c r="E19" s="4" t="s">
        <v>14</v>
      </c>
    </row>
    <row r="20" customFormat="false" ht="15" hidden="false" customHeight="false" outlineLevel="0" collapsed="false">
      <c r="A20" s="4" t="s">
        <v>463</v>
      </c>
      <c r="B20" s="4" t="s">
        <v>365</v>
      </c>
      <c r="C20" s="4" t="s">
        <v>464</v>
      </c>
      <c r="D20" s="4" t="s">
        <v>465</v>
      </c>
      <c r="E20" s="4" t="s">
        <v>14</v>
      </c>
    </row>
    <row r="21" customFormat="false" ht="15" hidden="false" customHeight="false" outlineLevel="0" collapsed="false">
      <c r="A21" s="4" t="s">
        <v>466</v>
      </c>
      <c r="B21" s="4" t="s">
        <v>365</v>
      </c>
      <c r="C21" s="4" t="s">
        <v>467</v>
      </c>
      <c r="D21" s="4" t="s">
        <v>468</v>
      </c>
      <c r="E21" s="4" t="s">
        <v>14</v>
      </c>
    </row>
    <row r="22" customFormat="false" ht="23.85" hidden="false" customHeight="false" outlineLevel="0" collapsed="false">
      <c r="A22" s="4" t="s">
        <v>469</v>
      </c>
      <c r="B22" s="4" t="s">
        <v>365</v>
      </c>
      <c r="C22" s="4" t="s">
        <v>470</v>
      </c>
      <c r="D22" s="4" t="s">
        <v>471</v>
      </c>
      <c r="E22" s="4" t="s">
        <v>14</v>
      </c>
    </row>
    <row r="23" customFormat="false" ht="15" hidden="false" customHeight="false" outlineLevel="0" collapsed="false">
      <c r="A23" s="4" t="s">
        <v>472</v>
      </c>
      <c r="B23" s="4" t="s">
        <v>473</v>
      </c>
      <c r="C23" s="4" t="s">
        <v>474</v>
      </c>
      <c r="D23" s="4" t="s">
        <v>475</v>
      </c>
      <c r="E23" s="4" t="s">
        <v>14</v>
      </c>
    </row>
    <row r="24" customFormat="false" ht="15" hidden="false" customHeight="false" outlineLevel="0" collapsed="false">
      <c r="A24" s="4" t="s">
        <v>476</v>
      </c>
      <c r="B24" s="4" t="s">
        <v>477</v>
      </c>
      <c r="C24" s="4" t="s">
        <v>478</v>
      </c>
      <c r="D24" s="4" t="s">
        <v>479</v>
      </c>
      <c r="E24" s="4" t="s">
        <v>14</v>
      </c>
    </row>
  </sheetData>
  <autoFilter ref="A2:E24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30" hidden="false" customHeight="true" outlineLevel="0" collapsed="false">
      <c r="A1" s="6" t="s">
        <v>480</v>
      </c>
      <c r="B1" s="6"/>
      <c r="C1" s="6"/>
      <c r="D1" s="6"/>
    </row>
    <row r="2" customFormat="false" ht="15" hidden="false" customHeight="false" outlineLevel="0" collapsed="false">
      <c r="A2" s="3" t="s">
        <v>481</v>
      </c>
      <c r="B2" s="3" t="s">
        <v>482</v>
      </c>
      <c r="C2" s="3" t="s">
        <v>483</v>
      </c>
      <c r="D2" s="3" t="s">
        <v>484</v>
      </c>
    </row>
    <row r="3" customFormat="false" ht="15" hidden="false" customHeight="false" outlineLevel="0" collapsed="false">
      <c r="A3" s="4" t="s">
        <v>485</v>
      </c>
      <c r="B3" s="4" t="s">
        <v>486</v>
      </c>
      <c r="C3" s="4" t="s">
        <v>487</v>
      </c>
      <c r="D3" s="4" t="s">
        <v>488</v>
      </c>
    </row>
    <row r="4" customFormat="false" ht="15" hidden="false" customHeight="false" outlineLevel="0" collapsed="false">
      <c r="A4" s="4" t="s">
        <v>489</v>
      </c>
      <c r="B4" s="4" t="s">
        <v>490</v>
      </c>
      <c r="C4" s="4" t="s">
        <v>487</v>
      </c>
      <c r="D4" s="4" t="s">
        <v>14</v>
      </c>
    </row>
    <row r="5" customFormat="false" ht="15" hidden="false" customHeight="false" outlineLevel="0" collapsed="false">
      <c r="A5" s="4" t="s">
        <v>491</v>
      </c>
      <c r="B5" s="4" t="s">
        <v>492</v>
      </c>
      <c r="C5" s="4" t="s">
        <v>487</v>
      </c>
      <c r="D5" s="4" t="s">
        <v>14</v>
      </c>
    </row>
    <row r="6" customFormat="false" ht="15" hidden="false" customHeight="false" outlineLevel="0" collapsed="false">
      <c r="A6" s="4" t="s">
        <v>493</v>
      </c>
      <c r="B6" s="4" t="s">
        <v>494</v>
      </c>
      <c r="C6" s="4" t="s">
        <v>495</v>
      </c>
      <c r="D6" s="4" t="s">
        <v>496</v>
      </c>
    </row>
    <row r="7" customFormat="false" ht="15" hidden="false" customHeight="false" outlineLevel="0" collapsed="false">
      <c r="A7" s="4" t="s">
        <v>497</v>
      </c>
      <c r="B7" s="4" t="s">
        <v>498</v>
      </c>
      <c r="C7" s="4" t="s">
        <v>495</v>
      </c>
      <c r="D7" s="4" t="s">
        <v>496</v>
      </c>
    </row>
    <row r="8" customFormat="false" ht="15" hidden="false" customHeight="false" outlineLevel="0" collapsed="false">
      <c r="A8" s="4" t="s">
        <v>499</v>
      </c>
      <c r="B8" s="4" t="s">
        <v>498</v>
      </c>
      <c r="C8" s="4" t="s">
        <v>495</v>
      </c>
      <c r="D8" s="4" t="s">
        <v>496</v>
      </c>
    </row>
    <row r="9" customFormat="false" ht="15" hidden="false" customHeight="false" outlineLevel="0" collapsed="false">
      <c r="A9" s="4" t="s">
        <v>500</v>
      </c>
      <c r="B9" s="4" t="s">
        <v>501</v>
      </c>
      <c r="C9" s="4" t="s">
        <v>495</v>
      </c>
      <c r="D9" s="4" t="s">
        <v>496</v>
      </c>
    </row>
    <row r="10" customFormat="false" ht="15" hidden="false" customHeight="false" outlineLevel="0" collapsed="false">
      <c r="A10" s="4" t="s">
        <v>502</v>
      </c>
      <c r="B10" s="4" t="s">
        <v>503</v>
      </c>
      <c r="C10" s="4" t="s">
        <v>504</v>
      </c>
      <c r="D10" s="4" t="s">
        <v>488</v>
      </c>
    </row>
    <row r="11" customFormat="false" ht="15" hidden="false" customHeight="false" outlineLevel="0" collapsed="false">
      <c r="A11" s="4" t="s">
        <v>505</v>
      </c>
      <c r="B11" s="4" t="s">
        <v>506</v>
      </c>
      <c r="C11" s="4" t="s">
        <v>487</v>
      </c>
      <c r="D11" s="4" t="s">
        <v>507</v>
      </c>
    </row>
    <row r="12" customFormat="false" ht="15" hidden="false" customHeight="false" outlineLevel="0" collapsed="false">
      <c r="A12" s="4" t="s">
        <v>508</v>
      </c>
      <c r="B12" s="4" t="s">
        <v>509</v>
      </c>
      <c r="C12" s="4" t="s">
        <v>487</v>
      </c>
      <c r="D12" s="4" t="s">
        <v>507</v>
      </c>
    </row>
  </sheetData>
  <autoFilter ref="A2:D12"/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6" t="s">
        <v>510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customFormat="false" ht="35.05" hidden="false" customHeight="false" outlineLevel="0" collapsed="false">
      <c r="A2" s="3" t="s">
        <v>2</v>
      </c>
      <c r="B2" s="3" t="s">
        <v>39</v>
      </c>
      <c r="C2" s="3" t="s">
        <v>511</v>
      </c>
      <c r="D2" s="3" t="s">
        <v>512</v>
      </c>
      <c r="E2" s="3" t="s">
        <v>513</v>
      </c>
      <c r="F2" s="3" t="s">
        <v>514</v>
      </c>
      <c r="G2" s="3" t="s">
        <v>515</v>
      </c>
      <c r="H2" s="3" t="s">
        <v>516</v>
      </c>
      <c r="I2" s="3" t="s">
        <v>517</v>
      </c>
      <c r="J2" s="3" t="s">
        <v>518</v>
      </c>
      <c r="K2" s="3" t="s">
        <v>519</v>
      </c>
      <c r="L2" s="3" t="s">
        <v>520</v>
      </c>
    </row>
    <row r="3" customFormat="false" ht="15" hidden="false" customHeight="false" outlineLevel="0" collapsed="false">
      <c r="A3" s="4" t="s">
        <v>44</v>
      </c>
      <c r="B3" s="4" t="s">
        <v>45</v>
      </c>
      <c r="C3" s="4" t="s">
        <v>521</v>
      </c>
      <c r="D3" s="8" t="n">
        <v>0.737</v>
      </c>
      <c r="E3" s="8" t="n">
        <v>0.643</v>
      </c>
      <c r="F3" s="8" t="n">
        <v>0.839</v>
      </c>
      <c r="G3" s="8" t="n">
        <v>0.82</v>
      </c>
      <c r="H3" s="4" t="str">
        <f aca="false">IF(D3="","not trained",IF(E3&gt;=G3,"Yes","No"))</f>
        <v>No</v>
      </c>
      <c r="I3" s="4" t="n">
        <v>0.98</v>
      </c>
      <c r="J3" s="4" t="n">
        <v>1</v>
      </c>
      <c r="K3" s="9" t="n">
        <v>12000</v>
      </c>
      <c r="L3" s="4" t="n">
        <v>26</v>
      </c>
    </row>
    <row r="4" customFormat="false" ht="15" hidden="false" customHeight="false" outlineLevel="0" collapsed="false">
      <c r="A4" s="4" t="s">
        <v>44</v>
      </c>
      <c r="B4" s="4" t="s">
        <v>45</v>
      </c>
      <c r="C4" s="4" t="s">
        <v>522</v>
      </c>
      <c r="D4" s="8" t="n">
        <v>0.82</v>
      </c>
      <c r="E4" s="8" t="n">
        <v>0.789</v>
      </c>
      <c r="F4" s="8" t="n">
        <v>0.847</v>
      </c>
      <c r="G4" s="8" t="n">
        <v>0.82</v>
      </c>
      <c r="H4" s="4" t="str">
        <f aca="false">IF(D4="","not trained",IF(E4&gt;=G4,"Yes","No"))</f>
        <v>No</v>
      </c>
      <c r="I4" s="4" t="n">
        <v>0.97</v>
      </c>
      <c r="J4" s="4" t="n">
        <v>1.04</v>
      </c>
      <c r="K4" s="9" t="n">
        <v>11351</v>
      </c>
      <c r="L4" s="4" t="n">
        <v>254</v>
      </c>
    </row>
    <row r="5" customFormat="false" ht="15" hidden="false" customHeight="false" outlineLevel="0" collapsed="false">
      <c r="A5" s="4" t="s">
        <v>44</v>
      </c>
      <c r="B5" s="4" t="s">
        <v>45</v>
      </c>
      <c r="C5" s="4" t="s">
        <v>52</v>
      </c>
      <c r="D5" s="8" t="n">
        <v>0.812</v>
      </c>
      <c r="E5" s="8" t="n">
        <v>0.794</v>
      </c>
      <c r="F5" s="8" t="n">
        <v>0.828</v>
      </c>
      <c r="G5" s="8" t="n">
        <v>0.82</v>
      </c>
      <c r="H5" s="4" t="str">
        <f aca="false">IF(D5="","not trained",IF(E5&gt;=G5,"Yes","No"))</f>
        <v>No</v>
      </c>
      <c r="I5" s="4" t="n">
        <v>1.04</v>
      </c>
      <c r="J5" s="4" t="n">
        <v>1.06</v>
      </c>
      <c r="K5" s="9" t="n">
        <v>6928</v>
      </c>
      <c r="L5" s="4" t="n">
        <v>800</v>
      </c>
    </row>
    <row r="6" customFormat="false" ht="15" hidden="false" customHeight="false" outlineLevel="0" collapsed="false">
      <c r="A6" s="4" t="s">
        <v>53</v>
      </c>
      <c r="B6" s="4" t="s">
        <v>54</v>
      </c>
      <c r="C6" s="4" t="s">
        <v>522</v>
      </c>
      <c r="D6" s="8" t="n">
        <v>0.751</v>
      </c>
      <c r="E6" s="8" t="n">
        <v>0.71</v>
      </c>
      <c r="F6" s="8" t="n">
        <v>0.796</v>
      </c>
      <c r="G6" s="8" t="n">
        <v>0.75</v>
      </c>
      <c r="H6" s="4" t="str">
        <f aca="false">IF(D6="","not trained",IF(E6&gt;=G6,"Yes","No"))</f>
        <v>No</v>
      </c>
      <c r="I6" s="4" t="n">
        <v>0.89</v>
      </c>
      <c r="J6" s="4" t="n">
        <v>1.03</v>
      </c>
      <c r="K6" s="9" t="n">
        <v>11342</v>
      </c>
      <c r="L6" s="4" t="n">
        <v>144</v>
      </c>
    </row>
    <row r="7" customFormat="false" ht="15" hidden="false" customHeight="false" outlineLevel="0" collapsed="false">
      <c r="A7" s="4" t="s">
        <v>53</v>
      </c>
      <c r="B7" s="4" t="s">
        <v>54</v>
      </c>
      <c r="C7" s="4" t="s">
        <v>52</v>
      </c>
      <c r="D7" s="8" t="n">
        <v>0.747</v>
      </c>
      <c r="E7" s="8" t="n">
        <v>0.727</v>
      </c>
      <c r="F7" s="8" t="n">
        <v>0.767</v>
      </c>
      <c r="G7" s="8" t="n">
        <v>0.75</v>
      </c>
      <c r="H7" s="4" t="str">
        <f aca="false">IF(D7="","not trained",IF(E7&gt;=G7,"Yes","No"))</f>
        <v>No</v>
      </c>
      <c r="I7" s="4" t="n">
        <v>0.88</v>
      </c>
      <c r="J7" s="4" t="n">
        <v>1.01</v>
      </c>
      <c r="K7" s="9" t="n">
        <v>6815</v>
      </c>
      <c r="L7" s="4" t="n">
        <v>531</v>
      </c>
    </row>
    <row r="8" customFormat="false" ht="15" hidden="false" customHeight="false" outlineLevel="0" collapsed="false">
      <c r="A8" s="4" t="s">
        <v>53</v>
      </c>
      <c r="B8" s="4" t="s">
        <v>59</v>
      </c>
      <c r="C8" s="4" t="s">
        <v>522</v>
      </c>
      <c r="D8" s="8" t="n">
        <v>0.735</v>
      </c>
      <c r="E8" s="8" t="n">
        <v>0.697</v>
      </c>
      <c r="F8" s="8" t="n">
        <v>0.777</v>
      </c>
      <c r="G8" s="8" t="n">
        <v>0.75</v>
      </c>
      <c r="H8" s="4" t="str">
        <f aca="false">IF(D8="","not trained",IF(E8&gt;=G8,"Yes","No"))</f>
        <v>No</v>
      </c>
      <c r="I8" s="4" t="n">
        <v>0.79</v>
      </c>
      <c r="J8" s="4" t="n">
        <v>1.02</v>
      </c>
      <c r="K8" s="9" t="n">
        <v>11341</v>
      </c>
      <c r="L8" s="4" t="n">
        <v>111</v>
      </c>
    </row>
    <row r="9" customFormat="false" ht="15" hidden="false" customHeight="false" outlineLevel="0" collapsed="false">
      <c r="A9" s="4" t="s">
        <v>53</v>
      </c>
      <c r="B9" s="4" t="s">
        <v>59</v>
      </c>
      <c r="C9" s="4" t="s">
        <v>52</v>
      </c>
      <c r="D9" s="8" t="n">
        <v>0.74</v>
      </c>
      <c r="E9" s="8" t="n">
        <v>0.72</v>
      </c>
      <c r="F9" s="8" t="n">
        <v>0.768</v>
      </c>
      <c r="G9" s="8" t="n">
        <v>0.75</v>
      </c>
      <c r="H9" s="4" t="str">
        <f aca="false">IF(D9="","not trained",IF(E9&gt;=G9,"Yes","No"))</f>
        <v>No</v>
      </c>
      <c r="I9" s="4" t="n">
        <v>0.86</v>
      </c>
      <c r="J9" s="4" t="n">
        <v>0.98</v>
      </c>
      <c r="K9" s="9" t="n">
        <v>6775</v>
      </c>
      <c r="L9" s="4" t="n">
        <v>405</v>
      </c>
    </row>
    <row r="10" customFormat="false" ht="15" hidden="false" customHeight="false" outlineLevel="0" collapsed="false">
      <c r="A10" s="4" t="s">
        <v>53</v>
      </c>
      <c r="B10" s="4" t="s">
        <v>63</v>
      </c>
      <c r="C10" s="4" t="s">
        <v>52</v>
      </c>
      <c r="D10" s="8" t="n">
        <v>0.696</v>
      </c>
      <c r="E10" s="8" t="n">
        <v>0.593</v>
      </c>
      <c r="F10" s="8" t="n">
        <v>0.779</v>
      </c>
      <c r="G10" s="8" t="n">
        <v>0.75</v>
      </c>
      <c r="H10" s="4" t="str">
        <f aca="false">IF(D10="","not trained",IF(E10&gt;=G10,"Yes","No"))</f>
        <v>No</v>
      </c>
      <c r="I10" s="4" t="n">
        <v>0.99</v>
      </c>
      <c r="J10" s="4" t="n">
        <v>1.09</v>
      </c>
      <c r="K10" s="9" t="n">
        <v>6650</v>
      </c>
      <c r="L10" s="4" t="n">
        <v>28</v>
      </c>
    </row>
    <row r="11" customFormat="false" ht="15" hidden="false" customHeight="false" outlineLevel="0" collapsed="false">
      <c r="A11" s="4" t="s">
        <v>53</v>
      </c>
      <c r="B11" s="4" t="s">
        <v>66</v>
      </c>
      <c r="C11" s="4" t="s">
        <v>522</v>
      </c>
      <c r="D11" s="8" t="n">
        <v>0.735</v>
      </c>
      <c r="E11" s="8" t="n">
        <v>0.629</v>
      </c>
      <c r="F11" s="8" t="n">
        <v>0.858</v>
      </c>
      <c r="G11" s="8" t="n">
        <v>0.75</v>
      </c>
      <c r="H11" s="4" t="str">
        <f aca="false">IF(D11="","not trained",IF(E11&gt;=G11,"Yes","No"))</f>
        <v>No</v>
      </c>
      <c r="I11" s="4" t="n">
        <v>1</v>
      </c>
      <c r="J11" s="4" t="n">
        <v>1.16</v>
      </c>
      <c r="K11" s="9" t="n">
        <v>11337</v>
      </c>
      <c r="L11" s="4" t="n">
        <v>24</v>
      </c>
    </row>
    <row r="12" customFormat="false" ht="15" hidden="false" customHeight="false" outlineLevel="0" collapsed="false">
      <c r="A12" s="4" t="s">
        <v>53</v>
      </c>
      <c r="B12" s="4" t="s">
        <v>66</v>
      </c>
      <c r="C12" s="4" t="s">
        <v>52</v>
      </c>
      <c r="D12" s="8" t="n">
        <v>0.689</v>
      </c>
      <c r="E12" s="8" t="n">
        <v>0.637</v>
      </c>
      <c r="F12" s="8" t="n">
        <v>0.729</v>
      </c>
      <c r="G12" s="8" t="n">
        <v>0.75</v>
      </c>
      <c r="H12" s="4" t="str">
        <f aca="false">IF(D12="","not trained",IF(E12&gt;=G12,"Yes","No"))</f>
        <v>No</v>
      </c>
      <c r="I12" s="4" t="n">
        <v>1.27</v>
      </c>
      <c r="J12" s="4" t="n">
        <v>1.1</v>
      </c>
      <c r="K12" s="9" t="n">
        <v>6676</v>
      </c>
      <c r="L12" s="4" t="n">
        <v>98</v>
      </c>
    </row>
    <row r="13" customFormat="false" ht="15" hidden="false" customHeight="false" outlineLevel="0" collapsed="false">
      <c r="A13" s="4" t="s">
        <v>69</v>
      </c>
      <c r="B13" s="4" t="s">
        <v>70</v>
      </c>
      <c r="C13" s="4" t="s">
        <v>521</v>
      </c>
      <c r="D13" s="8" t="n">
        <v>0.919</v>
      </c>
      <c r="E13" s="8" t="n">
        <v>0.878</v>
      </c>
      <c r="F13" s="8" t="n">
        <v>0.954</v>
      </c>
      <c r="G13" s="8" t="n">
        <v>0.8</v>
      </c>
      <c r="H13" s="4" t="str">
        <f aca="false">IF(D13="","not trained",IF(E13&gt;=G13,"Yes","No"))</f>
        <v>Yes</v>
      </c>
      <c r="I13" s="4" t="n">
        <v>1.18</v>
      </c>
      <c r="J13" s="4" t="n">
        <v>0.8</v>
      </c>
      <c r="K13" s="9" t="n">
        <v>12000</v>
      </c>
      <c r="L13" s="4" t="n">
        <v>34</v>
      </c>
    </row>
    <row r="14" customFormat="false" ht="15" hidden="false" customHeight="false" outlineLevel="0" collapsed="false">
      <c r="A14" s="4" t="s">
        <v>69</v>
      </c>
      <c r="B14" s="4" t="s">
        <v>70</v>
      </c>
      <c r="C14" s="4" t="s">
        <v>522</v>
      </c>
      <c r="D14" s="8" t="n">
        <v>0.876</v>
      </c>
      <c r="E14" s="8" t="n">
        <v>0.857</v>
      </c>
      <c r="F14" s="8" t="n">
        <v>0.894</v>
      </c>
      <c r="G14" s="8" t="n">
        <v>0.8</v>
      </c>
      <c r="H14" s="4" t="str">
        <f aca="false">IF(D14="","not trained",IF(E14&gt;=G14,"Yes","No"))</f>
        <v>Yes</v>
      </c>
      <c r="I14" s="4" t="n">
        <v>1.02</v>
      </c>
      <c r="J14" s="4" t="n">
        <v>0.96</v>
      </c>
      <c r="K14" s="9" t="n">
        <v>11347</v>
      </c>
      <c r="L14" s="4" t="n">
        <v>313</v>
      </c>
    </row>
    <row r="15" customFormat="false" ht="15" hidden="false" customHeight="false" outlineLevel="0" collapsed="false">
      <c r="A15" s="4" t="s">
        <v>69</v>
      </c>
      <c r="B15" s="4" t="s">
        <v>70</v>
      </c>
      <c r="C15" s="4" t="s">
        <v>52</v>
      </c>
      <c r="D15" s="8" t="n">
        <v>0.845</v>
      </c>
      <c r="E15" s="8" t="n">
        <v>0.828</v>
      </c>
      <c r="F15" s="8" t="n">
        <v>0.859</v>
      </c>
      <c r="G15" s="8" t="n">
        <v>0.8</v>
      </c>
      <c r="H15" s="4" t="str">
        <f aca="false">IF(D15="","not trained",IF(E15&gt;=G15,"Yes","No"))</f>
        <v>Yes</v>
      </c>
      <c r="I15" s="4" t="n">
        <v>0.98</v>
      </c>
      <c r="J15" s="4" t="n">
        <v>0.99</v>
      </c>
      <c r="K15" s="9" t="n">
        <v>6903</v>
      </c>
      <c r="L15" s="4" t="n">
        <v>843</v>
      </c>
    </row>
    <row r="16" customFormat="false" ht="15" hidden="false" customHeight="false" outlineLevel="0" collapsed="false">
      <c r="A16" s="4" t="s">
        <v>69</v>
      </c>
      <c r="B16" s="4" t="s">
        <v>75</v>
      </c>
      <c r="C16" s="4" t="s">
        <v>521</v>
      </c>
      <c r="D16" s="8" t="n">
        <v>0.894</v>
      </c>
      <c r="E16" s="8" t="n">
        <v>0.821</v>
      </c>
      <c r="F16" s="8" t="n">
        <v>0.959</v>
      </c>
      <c r="G16" s="8" t="n">
        <v>0.8</v>
      </c>
      <c r="H16" s="4" t="str">
        <f aca="false">IF(D16="","not trained",IF(E16&gt;=G16,"Yes","No"))</f>
        <v>Yes</v>
      </c>
      <c r="I16" s="4" t="n">
        <v>1.13</v>
      </c>
      <c r="J16" s="4" t="n">
        <v>0.72</v>
      </c>
      <c r="K16" s="9" t="n">
        <v>11998</v>
      </c>
      <c r="L16" s="4" t="n">
        <v>23</v>
      </c>
    </row>
    <row r="17" customFormat="false" ht="15" hidden="false" customHeight="false" outlineLevel="0" collapsed="false">
      <c r="A17" s="4" t="s">
        <v>69</v>
      </c>
      <c r="B17" s="4" t="s">
        <v>75</v>
      </c>
      <c r="C17" s="4" t="s">
        <v>522</v>
      </c>
      <c r="D17" s="8" t="n">
        <v>0.903</v>
      </c>
      <c r="E17" s="8" t="n">
        <v>0.879</v>
      </c>
      <c r="F17" s="8" t="n">
        <v>0.924</v>
      </c>
      <c r="G17" s="8" t="n">
        <v>0.8</v>
      </c>
      <c r="H17" s="4" t="str">
        <f aca="false">IF(D17="","not trained",IF(E17&gt;=G17,"Yes","No"))</f>
        <v>Yes</v>
      </c>
      <c r="I17" s="4" t="n">
        <v>1.1</v>
      </c>
      <c r="J17" s="4" t="n">
        <v>0.97</v>
      </c>
      <c r="K17" s="9" t="n">
        <v>11327</v>
      </c>
      <c r="L17" s="4" t="n">
        <v>177</v>
      </c>
    </row>
    <row r="18" customFormat="false" ht="15" hidden="false" customHeight="false" outlineLevel="0" collapsed="false">
      <c r="A18" s="4" t="s">
        <v>69</v>
      </c>
      <c r="B18" s="4" t="s">
        <v>75</v>
      </c>
      <c r="C18" s="4" t="s">
        <v>52</v>
      </c>
      <c r="D18" s="8" t="n">
        <v>0.863</v>
      </c>
      <c r="E18" s="8" t="n">
        <v>0.844</v>
      </c>
      <c r="F18" s="8" t="n">
        <v>0.882</v>
      </c>
      <c r="G18" s="8" t="n">
        <v>0.8</v>
      </c>
      <c r="H18" s="4" t="str">
        <f aca="false">IF(D18="","not trained",IF(E18&gt;=G18,"Yes","No"))</f>
        <v>Yes</v>
      </c>
      <c r="I18" s="4" t="n">
        <v>1</v>
      </c>
      <c r="J18" s="4" t="n">
        <v>0.98</v>
      </c>
      <c r="K18" s="9" t="n">
        <v>6760</v>
      </c>
      <c r="L18" s="4" t="n">
        <v>455</v>
      </c>
    </row>
    <row r="19" customFormat="false" ht="15" hidden="false" customHeight="false" outlineLevel="0" collapsed="false">
      <c r="A19" s="4" t="s">
        <v>69</v>
      </c>
      <c r="B19" s="4" t="s">
        <v>78</v>
      </c>
      <c r="C19" s="4" t="s">
        <v>522</v>
      </c>
      <c r="D19" s="8" t="n">
        <v>0.793</v>
      </c>
      <c r="E19" s="8" t="n">
        <v>0.744</v>
      </c>
      <c r="F19" s="8" t="n">
        <v>0.834</v>
      </c>
      <c r="G19" s="8" t="n">
        <v>0.8</v>
      </c>
      <c r="H19" s="4" t="str">
        <f aca="false">IF(D19="","not trained",IF(E19&gt;=G19,"Yes","No"))</f>
        <v>No</v>
      </c>
      <c r="I19" s="4" t="n">
        <v>1.09</v>
      </c>
      <c r="J19" s="4" t="n">
        <v>0.97</v>
      </c>
      <c r="K19" s="9" t="n">
        <v>11325</v>
      </c>
      <c r="L19" s="4" t="n">
        <v>91</v>
      </c>
    </row>
    <row r="20" customFormat="false" ht="15" hidden="false" customHeight="false" outlineLevel="0" collapsed="false">
      <c r="A20" s="4" t="s">
        <v>69</v>
      </c>
      <c r="B20" s="4" t="s">
        <v>78</v>
      </c>
      <c r="C20" s="4" t="s">
        <v>52</v>
      </c>
      <c r="D20" s="8" t="n">
        <v>0.777</v>
      </c>
      <c r="E20" s="8" t="n">
        <v>0.751</v>
      </c>
      <c r="F20" s="8" t="n">
        <v>0.805</v>
      </c>
      <c r="G20" s="8" t="n">
        <v>0.8</v>
      </c>
      <c r="H20" s="4" t="str">
        <f aca="false">IF(D20="","not trained",IF(E20&gt;=G20,"Yes","No"))</f>
        <v>No</v>
      </c>
      <c r="I20" s="4" t="n">
        <v>0.97</v>
      </c>
      <c r="J20" s="4" t="n">
        <v>0.98</v>
      </c>
      <c r="K20" s="9" t="n">
        <v>6703</v>
      </c>
      <c r="L20" s="4" t="n">
        <v>289</v>
      </c>
    </row>
    <row r="21" customFormat="false" ht="15" hidden="false" customHeight="false" outlineLevel="0" collapsed="false">
      <c r="A21" s="4" t="s">
        <v>81</v>
      </c>
      <c r="B21" s="4" t="s">
        <v>82</v>
      </c>
      <c r="C21" s="4" t="s">
        <v>522</v>
      </c>
      <c r="D21" s="8" t="n">
        <v>0.841</v>
      </c>
      <c r="E21" s="8" t="n">
        <v>0.774</v>
      </c>
      <c r="F21" s="8" t="n">
        <v>0.889</v>
      </c>
      <c r="G21" s="8" t="n">
        <v>0.78</v>
      </c>
      <c r="H21" s="4" t="str">
        <f aca="false">IF(D21="","not trained",IF(E21&gt;=G21,"Yes","No"))</f>
        <v>No</v>
      </c>
      <c r="I21" s="4" t="n">
        <v>1.15</v>
      </c>
      <c r="J21" s="4" t="n">
        <v>0.99</v>
      </c>
      <c r="K21" s="9" t="n">
        <v>11345</v>
      </c>
      <c r="L21" s="4" t="n">
        <v>46</v>
      </c>
    </row>
    <row r="22" customFormat="false" ht="15" hidden="false" customHeight="false" outlineLevel="0" collapsed="false">
      <c r="A22" s="4" t="s">
        <v>81</v>
      </c>
      <c r="B22" s="4" t="s">
        <v>82</v>
      </c>
      <c r="C22" s="4" t="s">
        <v>52</v>
      </c>
      <c r="D22" s="8" t="n">
        <v>0.782</v>
      </c>
      <c r="E22" s="8" t="n">
        <v>0.745</v>
      </c>
      <c r="F22" s="8" t="n">
        <v>0.824</v>
      </c>
      <c r="G22" s="8" t="n">
        <v>0.78</v>
      </c>
      <c r="H22" s="4" t="str">
        <f aca="false">IF(D22="","not trained",IF(E22&gt;=G22,"Yes","No"))</f>
        <v>No</v>
      </c>
      <c r="I22" s="4" t="n">
        <v>0.96</v>
      </c>
      <c r="J22" s="4" t="n">
        <v>1.02</v>
      </c>
      <c r="K22" s="9" t="n">
        <v>6708</v>
      </c>
      <c r="L22" s="4" t="n">
        <v>150</v>
      </c>
    </row>
    <row r="23" customFormat="false" ht="15" hidden="false" customHeight="false" outlineLevel="0" collapsed="false">
      <c r="A23" s="4" t="s">
        <v>87</v>
      </c>
      <c r="B23" s="4" t="s">
        <v>88</v>
      </c>
      <c r="C23" s="4" t="s">
        <v>521</v>
      </c>
      <c r="D23" s="8" t="n">
        <v>0.757</v>
      </c>
      <c r="E23" s="8" t="n">
        <v>0.628</v>
      </c>
      <c r="F23" s="8" t="n">
        <v>0.877</v>
      </c>
      <c r="G23" s="8" t="n">
        <v>0.8</v>
      </c>
      <c r="H23" s="4" t="str">
        <f aca="false">IF(D23="","not trained",IF(E23&gt;=G23,"Yes","No"))</f>
        <v>No</v>
      </c>
      <c r="I23" s="4" t="n">
        <v>1.03</v>
      </c>
      <c r="J23" s="4" t="n">
        <v>1.34</v>
      </c>
      <c r="K23" s="9" t="n">
        <v>11567</v>
      </c>
      <c r="L23" s="4" t="n">
        <v>20</v>
      </c>
    </row>
    <row r="24" customFormat="false" ht="15" hidden="false" customHeight="false" outlineLevel="0" collapsed="false">
      <c r="A24" s="4" t="s">
        <v>87</v>
      </c>
      <c r="B24" s="4" t="s">
        <v>88</v>
      </c>
      <c r="C24" s="4" t="s">
        <v>522</v>
      </c>
      <c r="D24" s="8" t="n">
        <v>0.815</v>
      </c>
      <c r="E24" s="8" t="n">
        <v>0.789</v>
      </c>
      <c r="F24" s="8" t="n">
        <v>0.837</v>
      </c>
      <c r="G24" s="8" t="n">
        <v>0.8</v>
      </c>
      <c r="H24" s="4" t="str">
        <f aca="false">IF(D24="","not trained",IF(E24&gt;=G24,"Yes","No"))</f>
        <v>No</v>
      </c>
      <c r="I24" s="4" t="n">
        <v>1.07</v>
      </c>
      <c r="J24" s="4" t="n">
        <v>0.99</v>
      </c>
      <c r="K24" s="9" t="n">
        <v>10925</v>
      </c>
      <c r="L24" s="4" t="n">
        <v>297</v>
      </c>
    </row>
    <row r="25" customFormat="false" ht="15" hidden="false" customHeight="false" outlineLevel="0" collapsed="false">
      <c r="A25" s="4" t="s">
        <v>87</v>
      </c>
      <c r="B25" s="4" t="s">
        <v>88</v>
      </c>
      <c r="C25" s="4" t="s">
        <v>52</v>
      </c>
      <c r="D25" s="8" t="n">
        <v>0.801</v>
      </c>
      <c r="E25" s="8" t="n">
        <v>0.79</v>
      </c>
      <c r="F25" s="8" t="n">
        <v>0.817</v>
      </c>
      <c r="G25" s="8" t="n">
        <v>0.8</v>
      </c>
      <c r="H25" s="4" t="str">
        <f aca="false">IF(D25="","not trained",IF(E25&gt;=G25,"Yes","No"))</f>
        <v>No</v>
      </c>
      <c r="I25" s="4" t="n">
        <v>1.02</v>
      </c>
      <c r="J25" s="4" t="n">
        <v>0.98</v>
      </c>
      <c r="K25" s="9" t="n">
        <v>6677</v>
      </c>
      <c r="L25" s="4" t="n">
        <v>959</v>
      </c>
    </row>
    <row r="26" customFormat="false" ht="23.85" hidden="false" customHeight="false" outlineLevel="0" collapsed="false">
      <c r="A26" s="4" t="s">
        <v>53</v>
      </c>
      <c r="B26" s="4" t="s">
        <v>54</v>
      </c>
      <c r="C26" s="4" t="s">
        <v>521</v>
      </c>
      <c r="D26" s="8"/>
      <c r="E26" s="8"/>
      <c r="F26" s="8"/>
      <c r="G26" s="8" t="n">
        <v>0.75</v>
      </c>
      <c r="H26" s="4" t="str">
        <f aca="false">IF(D26="","not trained",IF(E26&gt;=G26,"Yes","No"))</f>
        <v>not trained</v>
      </c>
      <c r="I26" s="4"/>
      <c r="J26" s="4"/>
      <c r="K26" s="9"/>
      <c r="L26" s="4" t="s">
        <v>523</v>
      </c>
    </row>
    <row r="27" customFormat="false" ht="23.85" hidden="false" customHeight="false" outlineLevel="0" collapsed="false">
      <c r="A27" s="4" t="s">
        <v>53</v>
      </c>
      <c r="B27" s="4" t="s">
        <v>59</v>
      </c>
      <c r="C27" s="4" t="s">
        <v>521</v>
      </c>
      <c r="D27" s="8"/>
      <c r="E27" s="8"/>
      <c r="F27" s="8"/>
      <c r="G27" s="8" t="n">
        <v>0.75</v>
      </c>
      <c r="H27" s="4" t="str">
        <f aca="false">IF(D27="","not trained",IF(E27&gt;=G27,"Yes","No"))</f>
        <v>not trained</v>
      </c>
      <c r="I27" s="4"/>
      <c r="J27" s="4"/>
      <c r="K27" s="9"/>
      <c r="L27" s="4" t="s">
        <v>524</v>
      </c>
    </row>
    <row r="28" customFormat="false" ht="23.85" hidden="false" customHeight="false" outlineLevel="0" collapsed="false">
      <c r="A28" s="4" t="s">
        <v>53</v>
      </c>
      <c r="B28" s="4" t="s">
        <v>63</v>
      </c>
      <c r="C28" s="4" t="s">
        <v>521</v>
      </c>
      <c r="D28" s="8"/>
      <c r="E28" s="8"/>
      <c r="F28" s="8"/>
      <c r="G28" s="8" t="n">
        <v>0.75</v>
      </c>
      <c r="H28" s="4" t="str">
        <f aca="false">IF(D28="","not trained",IF(E28&gt;=G28,"Yes","No"))</f>
        <v>not trained</v>
      </c>
      <c r="I28" s="4"/>
      <c r="J28" s="4"/>
      <c r="K28" s="9"/>
      <c r="L28" s="4" t="s">
        <v>525</v>
      </c>
    </row>
    <row r="29" customFormat="false" ht="23.85" hidden="false" customHeight="false" outlineLevel="0" collapsed="false">
      <c r="A29" s="4" t="s">
        <v>53</v>
      </c>
      <c r="B29" s="4" t="s">
        <v>63</v>
      </c>
      <c r="C29" s="4" t="s">
        <v>522</v>
      </c>
      <c r="D29" s="8"/>
      <c r="E29" s="8"/>
      <c r="F29" s="8"/>
      <c r="G29" s="8" t="n">
        <v>0.75</v>
      </c>
      <c r="H29" s="4" t="str">
        <f aca="false">IF(D29="","not trained",IF(E29&gt;=G29,"Yes","No"))</f>
        <v>not trained</v>
      </c>
      <c r="I29" s="4"/>
      <c r="J29" s="4"/>
      <c r="K29" s="9"/>
      <c r="L29" s="4" t="s">
        <v>526</v>
      </c>
    </row>
    <row r="30" customFormat="false" ht="23.85" hidden="false" customHeight="false" outlineLevel="0" collapsed="false">
      <c r="A30" s="4" t="s">
        <v>53</v>
      </c>
      <c r="B30" s="4" t="s">
        <v>66</v>
      </c>
      <c r="C30" s="4" t="s">
        <v>521</v>
      </c>
      <c r="D30" s="8"/>
      <c r="E30" s="8"/>
      <c r="F30" s="8"/>
      <c r="G30" s="8" t="n">
        <v>0.75</v>
      </c>
      <c r="H30" s="4" t="str">
        <f aca="false">IF(D30="","not trained",IF(E30&gt;=G30,"Yes","No"))</f>
        <v>not trained</v>
      </c>
      <c r="I30" s="4"/>
      <c r="J30" s="4"/>
      <c r="K30" s="9"/>
      <c r="L30" s="4" t="s">
        <v>525</v>
      </c>
    </row>
    <row r="31" customFormat="false" ht="23.85" hidden="false" customHeight="false" outlineLevel="0" collapsed="false">
      <c r="A31" s="4" t="s">
        <v>69</v>
      </c>
      <c r="B31" s="4" t="s">
        <v>78</v>
      </c>
      <c r="C31" s="4" t="s">
        <v>521</v>
      </c>
      <c r="D31" s="8"/>
      <c r="E31" s="8"/>
      <c r="F31" s="8"/>
      <c r="G31" s="8" t="n">
        <v>0.8</v>
      </c>
      <c r="H31" s="4" t="str">
        <f aca="false">IF(D31="","not trained",IF(E31&gt;=G31,"Yes","No"))</f>
        <v>not trained</v>
      </c>
      <c r="I31" s="4"/>
      <c r="J31" s="4"/>
      <c r="K31" s="9"/>
      <c r="L31" s="4" t="s">
        <v>527</v>
      </c>
    </row>
    <row r="32" customFormat="false" ht="23.85" hidden="false" customHeight="false" outlineLevel="0" collapsed="false">
      <c r="A32" s="4" t="s">
        <v>81</v>
      </c>
      <c r="B32" s="4" t="s">
        <v>82</v>
      </c>
      <c r="C32" s="4" t="s">
        <v>521</v>
      </c>
      <c r="D32" s="8"/>
      <c r="E32" s="8"/>
      <c r="F32" s="8"/>
      <c r="G32" s="8" t="n">
        <v>0.78</v>
      </c>
      <c r="H32" s="4" t="str">
        <f aca="false">IF(D32="","not trained",IF(E32&gt;=G32,"Yes","No"))</f>
        <v>not trained</v>
      </c>
      <c r="I32" s="4"/>
      <c r="J32" s="4"/>
      <c r="K32" s="9"/>
      <c r="L32" s="4" t="s">
        <v>528</v>
      </c>
    </row>
  </sheetData>
  <autoFilter ref="A2:L32"/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2026-10-19T15:55:20Z</dcterms:created>
  <dc:creator>openpyxl</dc:creator>
  <dc:description/>
  <dc:language>en-US</dc:language>
  <cp:lastModifiedBy/>
  <dcterms:modified xsi:type="dcterms:W3CDTF">2026-10-19T15:55:20Z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