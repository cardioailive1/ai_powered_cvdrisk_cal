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CP open items" sheetId="2" state="visible" r:id="rId2"/>
    <sheet xmlns:r="http://schemas.openxmlformats.org/officeDocument/2006/relationships" name="Endpoints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Outputs" sheetId="5" state="visible" r:id="rId5"/>
    <sheet xmlns:r="http://schemas.openxmlformats.org/officeDocument/2006/relationships" name="Auto-labelling" sheetId="6" state="visible" r:id="rId6"/>
    <sheet xmlns:r="http://schemas.openxmlformats.org/officeDocument/2006/relationships" name="Annotation" sheetId="7" state="visible" r:id="rId7"/>
    <sheet xmlns:r="http://schemas.openxmlformats.org/officeDocument/2006/relationships" name="Automatic audit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Demo validation" sheetId="10" state="visible" r:id="rId10"/>
  </sheets>
  <definedNames>
    <definedName name="_xlnm._FilterDatabase" localSheetId="2" hidden="1">'Endpoints'!$A$2:$I$12</definedName>
    <definedName name="_xlnm._FilterDatabase" localSheetId="3" hidden="1">'Inputs'!$A$2:$N$35</definedName>
    <definedName name="_xlnm._FilterDatabase" localSheetId="4" hidden="1">'Outputs'!$A$2:$E$43</definedName>
    <definedName name="_xlnm._FilterDatabase" localSheetId="5" hidden="1">'Auto-labelling'!$A$2:$F$42</definedName>
    <definedName name="_xlnm._FilterDatabase" localSheetId="6" hidden="1">'Annotation'!$A$2:$D$17</definedName>
    <definedName name="_xlnm._FilterDatabase" localSheetId="7" hidden="1">'Automatic audit'!$A$2:$E$24</definedName>
    <definedName name="_xlnm._FilterDatabase" localSheetId="8" hidden="1">'Release gates'!$A$2:$D$12</definedName>
    <definedName name="_xlnm._FilterDatabase" localSheetId="9" hidden="1">'Demo validation'!$A$2:$L$32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4"/>
    </font>
    <font>
      <name val="Arial"/>
      <charset val="1"/>
      <family val="0"/>
      <i val="1"/>
      <color rgb="FF44546A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3">
    <border>
      <left/>
      <right/>
      <top/>
      <bottom/>
      <diagonal/>
    </border>
    <border>
      <left/>
      <right/>
      <top/>
      <bottom style="thin">
        <color rgb="FFC9D3DE"/>
      </bottom>
      <diagonal/>
    </border>
    <border>
      <bottom style="thin">
        <color rgb="00D9DEE5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2" fontId="7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165" fontId="7" fillId="0" borderId="1" applyAlignment="1" pivotButton="0" quotePrefix="0" xfId="0">
      <alignment horizontal="general" vertical="top" wrapText="1"/>
    </xf>
    <xf numFmtId="3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2" fontId="7" fillId="0" borderId="1" applyAlignment="1" pivotButton="0" quotePrefix="0" xfId="0">
      <alignment horizontal="general" vertical="top" wrapText="1"/>
    </xf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5" fillId="0" borderId="0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165" fontId="7" fillId="0" borderId="1" applyAlignment="1" pivotButton="0" quotePrefix="0" xfId="0">
      <alignment horizontal="general" vertical="top" wrapText="1"/>
    </xf>
    <xf numFmtId="3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3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10" min="1" max="1"/>
    <col width="11" customWidth="1" style="10" min="2" max="2"/>
    <col width="30" customWidth="1" style="10" min="3" max="3"/>
    <col width="34" customWidth="1" style="10" min="4" max="4"/>
    <col width="16" customWidth="1" style="10" min="5" max="5"/>
    <col width="46" customWidth="1" style="10" min="6" max="6"/>
    <col width="10" customWidth="1" style="10" min="7" max="7"/>
    <col width="12" customWidth="1" style="10" min="8" max="8"/>
    <col width="32" customWidth="1" style="10" min="9" max="9"/>
    <col width="34" customWidth="1" style="10" min="10" max="10"/>
  </cols>
  <sheetData>
    <row r="1" ht="17.35" customHeight="1" s="11">
      <c r="A1" s="12" t="inlineStr">
        <is>
          <t>CardioAI CVD Risk Calculators — Models Sheet</t>
        </is>
      </c>
    </row>
    <row r="2" ht="15" customHeight="1" s="11">
      <c r="A2" s="13" t="inlineStr">
        <is>
          <t>Generated from the repository code (cardioai_core/schema.py, training/labeling.py, training/audit.py, curation/governance.py). Counts in columns G–H are live formulas over the Inputs and Auto-labelling tabs.</t>
        </is>
      </c>
    </row>
    <row r="3" ht="23.85" customHeight="1" s="11">
      <c r="A3" s="14" t="inlineStr">
        <is>
          <t>Calculator</t>
        </is>
      </c>
      <c r="B3" s="14" t="inlineStr">
        <is>
          <t>Target C-statistic</t>
        </is>
      </c>
      <c r="C3" s="14" t="inlineStr">
        <is>
          <t>Primary endpoint</t>
        </is>
      </c>
      <c r="D3" s="14" t="inlineStr">
        <is>
          <t>Secondary endpoints</t>
        </is>
      </c>
      <c r="E3" s="14" t="inlineStr">
        <is>
          <t>Horizons</t>
        </is>
      </c>
      <c r="F3" s="14" t="inlineStr">
        <is>
          <t>Population / eligibility</t>
        </is>
      </c>
      <c r="G3" s="14" t="inlineStr">
        <is>
          <t>Inputs used</t>
        </is>
      </c>
      <c r="H3" s="14" t="inlineStr">
        <is>
          <t>Labelling functions</t>
        </is>
      </c>
      <c r="I3" s="14" t="inlineStr">
        <is>
          <t>Published comparators</t>
        </is>
      </c>
      <c r="J3" s="14" t="inlineStr">
        <is>
          <t>Model</t>
        </is>
      </c>
    </row>
    <row r="4" ht="35.05" customHeight="1" s="11">
      <c r="A4" s="15" t="inlineStr">
        <is>
          <t>Acute Myocardial Infarction (AMI)</t>
        </is>
      </c>
      <c r="B4" s="16" t="n">
        <v>0.82</v>
      </c>
      <c r="C4" s="15" t="inlineStr">
        <is>
          <t>Acute myocardial infarction (5-year)</t>
        </is>
      </c>
      <c r="D4" s="15" t="inlineStr">
        <is>
          <t>—</t>
        </is>
      </c>
      <c r="E4" s="15" t="inlineStr">
        <is>
          <t>30 days, 1 year, 5 years</t>
        </is>
      </c>
      <c r="F4" s="15" t="inlineStr">
        <is>
          <t>Primary and secondary prevention populations. Adults 18–90 at a landmark outpatient visit with a lipid result in the prior year, 2012–2019.</t>
        </is>
      </c>
      <c r="G4" s="15">
        <f>COUNTIF(Inputs!H:H,"Y")</f>
        <v/>
      </c>
      <c r="H4" s="15">
        <f>COUNTIFS('Auto-labelling'!A:A,"ami",'Auto-labelling'!B:B,"&lt;&gt;(bias)")</f>
        <v/>
      </c>
      <c r="I4" s="15" t="inlineStr">
        <is>
          <t>Pooled Cohort Equations (2013 ACC/AHA)</t>
        </is>
      </c>
      <c r="J4" s="15" t="inlineStr">
        <is>
          <t>Calibrated HistGradientBoosting per endpoint × horizon (isotonic/sigmoid, 3-fold)</t>
        </is>
      </c>
    </row>
    <row r="5" ht="35.05" customHeight="1" s="11">
      <c r="A5" s="15" t="inlineStr">
        <is>
          <t>Stroke Risk</t>
        </is>
      </c>
      <c r="B5" s="16" t="n">
        <v>0.75</v>
      </c>
      <c r="C5" s="15" t="inlineStr">
        <is>
          <t>Any stroke or TIA (5-year)</t>
        </is>
      </c>
      <c r="D5" s="15" t="inlineStr">
        <is>
          <t>Ischemic stroke; Hemorrhagic stroke; Transient ischemic attack</t>
        </is>
      </c>
      <c r="E5" s="15" t="inlineStr">
        <is>
          <t>30 days, 1 year, 5 years</t>
        </is>
      </c>
      <c r="F5" s="15" t="inlineStr">
        <is>
          <t>Includes AF-stroke and hemorrhagic stroke models. Adults 18–90 at a landmark outpatient visit with a lipid result in the prior year, 2012–2019.</t>
        </is>
      </c>
      <c r="G5" s="15">
        <f>COUNTIF(Inputs!I:I,"Y")</f>
        <v/>
      </c>
      <c r="H5" s="15">
        <f>COUNTIFS('Auto-labelling'!A:A,"stroke",'Auto-labelling'!B:B,"&lt;&gt;(bias)")</f>
        <v/>
      </c>
      <c r="I5" s="15" t="inlineStr">
        <is>
          <t>CHA₂DS₂-VASc; Pooled Cohort Equations (2013 ACC/AHA)</t>
        </is>
      </c>
      <c r="J5" s="15" t="inlineStr">
        <is>
          <t>Calibrated HistGradientBoosting per endpoint × horizon (isotonic/sigmoid, 3-fold)</t>
        </is>
      </c>
    </row>
    <row r="6" ht="35.05" customHeight="1" s="11">
      <c r="A6" s="15" t="inlineStr">
        <is>
          <t>Heart Failure</t>
        </is>
      </c>
      <c r="B6" s="16" t="n">
        <v>0.8</v>
      </c>
      <c r="C6" s="15" t="inlineStr">
        <is>
          <t>Heart failure hospitalization / diagnosis (5-year)</t>
        </is>
      </c>
      <c r="D6" s="15" t="inlineStr">
        <is>
          <t>HFrEF; HFpEF</t>
        </is>
      </c>
      <c r="E6" s="15" t="inlineStr">
        <is>
          <t>30 days, 1 year, 5 years</t>
        </is>
      </c>
      <c r="F6" s="15" t="inlineStr">
        <is>
          <t>Separate models for HFrEF and HFpEF. Adults 18–90 at a landmark outpatient visit with a lipid result in the prior year, 2012–2019.</t>
        </is>
      </c>
      <c r="G6" s="15">
        <f>COUNTIF(Inputs!J:J,"Y")</f>
        <v/>
      </c>
      <c r="H6" s="15">
        <f>COUNTIFS('Auto-labelling'!A:A,"hf",'Auto-labelling'!B:B,"&lt;&gt;(bias)")</f>
        <v/>
      </c>
      <c r="I6" s="15" t="inlineStr">
        <is>
          <t>—</t>
        </is>
      </c>
      <c r="J6" s="15" t="inlineStr">
        <is>
          <t>Calibrated HistGradientBoosting per endpoint × horizon (isotonic/sigmoid, 3-fold)</t>
        </is>
      </c>
    </row>
    <row r="7" ht="35.05" customHeight="1" s="11">
      <c r="A7" s="15" t="inlineStr">
        <is>
          <t>Sudden Cardiac Death (SCD)</t>
        </is>
      </c>
      <c r="B7" s="16" t="n">
        <v>0.78</v>
      </c>
      <c r="C7" s="15" t="inlineStr">
        <is>
          <t>Cardiac arrest / VF / sustained VT (5-year)</t>
        </is>
      </c>
      <c r="D7" s="15" t="inlineStr">
        <is>
          <t>—</t>
        </is>
      </c>
      <c r="E7" s="15" t="inlineStr">
        <is>
          <t>30 days, 1 year, 5 years</t>
        </is>
      </c>
      <c r="F7" s="15" t="inlineStr">
        <is>
          <t>Guides ICD placement decisions. Adults 18–90 at a landmark outpatient visit with a lipid result in the prior year, 2012–2019.</t>
        </is>
      </c>
      <c r="G7" s="15">
        <f>COUNTIF(Inputs!K:K,"Y")</f>
        <v/>
      </c>
      <c r="H7" s="15">
        <f>COUNTIFS('Auto-labelling'!A:A,"scd",'Auto-labelling'!B:B,"&lt;&gt;(bias)")</f>
        <v/>
      </c>
      <c r="I7" s="15" t="inlineStr">
        <is>
          <t>ACC/AHA/HRS primary-prevention ICD criteria (screen)</t>
        </is>
      </c>
      <c r="J7" s="15" t="inlineStr">
        <is>
          <t>Calibrated HistGradientBoosting per endpoint × horizon (isotonic/sigmoid, 3-fold)</t>
        </is>
      </c>
    </row>
    <row r="8" ht="46.25" customHeight="1" s="11">
      <c r="A8" s="15" t="inlineStr">
        <is>
          <t>Atrial Fibrillation</t>
        </is>
      </c>
      <c r="B8" s="16" t="n">
        <v>0.8</v>
      </c>
      <c r="C8" s="15" t="inlineStr">
        <is>
          <t>New-onset atrial fibrillation / flutter (5-year)</t>
        </is>
      </c>
      <c r="D8" s="15" t="inlineStr">
        <is>
          <t>—</t>
        </is>
      </c>
      <c r="E8" s="15" t="inlineStr">
        <is>
          <t>30 days, 1 year, 5 years</t>
        </is>
      </c>
      <c r="F8" s="15" t="inlineStr">
        <is>
          <t>Enables targeted screening and early intervention. Excludes patients with AF before index. Adults 18–90 at a landmark outpatient visit with a lipid result in the prior year, 2012–2019.</t>
        </is>
      </c>
      <c r="G8" s="15">
        <f>COUNTIF(Inputs!L:L,"Y")</f>
        <v/>
      </c>
      <c r="H8" s="15">
        <f>COUNTIFS('Auto-labelling'!A:A,"af",'Auto-labelling'!B:B,"&lt;&gt;(bias)")</f>
        <v/>
      </c>
      <c r="I8" s="15" t="inlineStr">
        <is>
          <t>CHARGE-AF (simple model)</t>
        </is>
      </c>
      <c r="J8" s="15" t="inlineStr">
        <is>
          <t>Calibrated HistGradientBoosting per endpoint × horizon (isotonic/sigmoid, 3-fold)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style="11" min="1" max="1"/>
    <col width="22" customWidth="1" style="11" min="2" max="2"/>
    <col width="50" customWidth="1" style="11" min="3" max="3"/>
    <col width="40" customWidth="1" style="11" min="4" max="4"/>
    <col width="40" customWidth="1" style="11" min="5" max="5"/>
    <col width="18" customWidth="1" style="11" min="6" max="6"/>
    <col width="12" customWidth="1" style="11" min="7" max="7"/>
    <col width="45" customWidth="1" style="11" min="8" max="8"/>
    <col width="20" customWidth="1" style="11" min="9" max="9"/>
  </cols>
  <sheetData>
    <row r="1" ht="30" customHeight="1" s="11">
      <c r="A1" s="17" t="inlineStr">
        <is>
          <t>Items that need a response from Mayo Clinic Platform (MCP) before or during the build. Fill in the response, who answered and when.</t>
        </is>
      </c>
    </row>
    <row r="2">
      <c r="A2" s="18" t="inlineStr">
        <is>
          <t>#</t>
        </is>
      </c>
      <c r="B2" s="18" t="inlineStr">
        <is>
          <t>Topic</t>
        </is>
      </c>
      <c r="C2" s="18" t="inlineStr">
        <is>
          <t>Question for MCP</t>
        </is>
      </c>
      <c r="D2" s="18" t="inlineStr">
        <is>
          <t>Why it matters</t>
        </is>
      </c>
      <c r="E2" s="18" t="inlineStr">
        <is>
          <t>What it blocks / where it is used</t>
        </is>
      </c>
      <c r="F2" s="18" t="inlineStr">
        <is>
          <t>Needed by</t>
        </is>
      </c>
      <c r="G2" s="18" t="inlineStr">
        <is>
          <t>Status</t>
        </is>
      </c>
      <c r="H2" s="18" t="inlineStr">
        <is>
          <t>MCP response</t>
        </is>
      </c>
      <c r="I2" s="18" t="inlineStr">
        <is>
          <t>Answered by / date</t>
        </is>
      </c>
    </row>
    <row r="3">
      <c r="A3" s="19" t="n">
        <v>1</v>
      </c>
      <c r="B3" s="19" t="inlineStr">
        <is>
          <t>Echo data (FACT_ECHO_TEST)</t>
        </is>
      </c>
      <c r="C3" s="19" t="inlineStr">
        <is>
          <t>Which columns hold the patient key, the echo date/time and the echo id, and how does the patient key map to OMOP person_id?</t>
        </is>
      </c>
      <c r="D3" s="19" t="inlineStr">
        <is>
          <t>LVEF from echo notes is an input and an HF subtype source; the extract must join echo notes to the cohort.</t>
        </is>
      </c>
      <c r="E3" s="19" t="inlineStr">
        <is>
          <t>Echo extraction refuses to run until set (training/native_sources.json). Runbook Phase 2.</t>
        </is>
      </c>
      <c r="F3" s="19" t="inlineStr">
        <is>
          <t>Before extraction (Phase 3)</t>
        </is>
      </c>
      <c r="G3" s="19" t="inlineStr">
        <is>
          <t>Open</t>
        </is>
      </c>
      <c r="H3" s="19" t="inlineStr"/>
      <c r="I3" s="19" t="inlineStr"/>
    </row>
    <row r="4">
      <c r="A4" s="19" t="n">
        <v>2</v>
      </c>
      <c r="B4" s="19" t="inlineStr">
        <is>
          <t>Table locations</t>
        </is>
      </c>
      <c r="C4" s="19" t="inlineStr">
        <is>
          <t>What are the Spark catalog/schema names for the OMOP CDM tables and the native FACT_* tables? Does OMOP note hold all FACT_RADIOLOGY reports?</t>
        </is>
      </c>
      <c r="D4" s="19" t="inlineStr">
        <is>
          <t>The Spark SQL extract needs exact table names; radiology reports supply CAC and stroke imaging evidence.</t>
        </is>
      </c>
      <c r="E4" s="19" t="inlineStr">
        <is>
          <t>Extraction configuration (training/extract.py, preflight). Runbook Phase 2.</t>
        </is>
      </c>
      <c r="F4" s="19" t="inlineStr">
        <is>
          <t>Before extraction (Phase 3)</t>
        </is>
      </c>
      <c r="G4" s="19" t="inlineStr">
        <is>
          <t>Open</t>
        </is>
      </c>
      <c r="H4" s="19" t="inlineStr"/>
      <c r="I4" s="19" t="inlineStr"/>
    </row>
    <row r="5">
      <c r="A5" s="19" t="n">
        <v>3</v>
      </c>
      <c r="B5" s="19" t="inlineStr">
        <is>
          <t>Primary diagnosis</t>
        </is>
      </c>
      <c r="C5" s="19" t="inlineStr">
        <is>
          <t>Which condition_status_concept_id / condition_type_concept_id values mark a primary (principal) diagnosis in Mayo's OMOP data?</t>
        </is>
      </c>
      <c r="D5" s="19" t="inlineStr">
        <is>
          <t>The 'primary_dx' labelling function votes for events coded as primary.</t>
        </is>
      </c>
      <c r="E5" s="19" t="inlineStr">
        <is>
          <t>Auto-labelling accuracy for AMI, stroke, HF and SCD (training/codesets.py PRIMARY_STATUS).</t>
        </is>
      </c>
      <c r="F5" s="19" t="inlineStr">
        <is>
          <t>Before labelling (Phase 5)</t>
        </is>
      </c>
      <c r="G5" s="19" t="inlineStr">
        <is>
          <t>Open</t>
        </is>
      </c>
      <c r="H5" s="19" t="inlineStr"/>
      <c r="I5" s="19" t="inlineStr"/>
    </row>
    <row r="6">
      <c r="A6" s="19" t="n">
        <v>4</v>
      </c>
      <c r="B6" s="19" t="inlineStr">
        <is>
          <t>Troponin assay history</t>
        </is>
      </c>
      <c r="C6" s="19" t="inlineStr">
        <is>
          <t>On what date did Mayo switch from conventional troponin T to hs-troponin T Gen 5, and is measurement.range_high populated?</t>
        </is>
      </c>
      <c r="D6" s="19" t="inlineStr">
        <is>
          <t>AMI labels depend on troponin above the upper reference limit with a rise/fall; the limit differs by assay.</t>
        </is>
      </c>
      <c r="E6" s="19" t="inlineStr">
        <is>
          <t>AMI auto-labels and the reference limits shown to readers.</t>
        </is>
      </c>
      <c r="F6" s="19" t="inlineStr">
        <is>
          <t>Before labelling (Phase 5)</t>
        </is>
      </c>
      <c r="G6" s="19" t="inlineStr">
        <is>
          <t>Open</t>
        </is>
      </c>
      <c r="H6" s="19" t="inlineStr"/>
      <c r="I6" s="19" t="inlineStr"/>
    </row>
    <row r="7">
      <c r="A7" s="19" t="n">
        <v>5</v>
      </c>
      <c r="B7" s="19" t="inlineStr">
        <is>
          <t>Death data completeness</t>
        </is>
      </c>
      <c r="C7" s="19" t="inlineStr">
        <is>
          <t>How complete is death data for deaths outside Mayo (e.g. state death-index linkage), and from what date?</t>
        </is>
      </c>
      <c r="D7" s="19" t="inlineStr">
        <is>
          <t>Sudden cardiac death outside hospital is otherwise under-captured; death also censors follow-up.</t>
        </is>
      </c>
      <c r="E7" s="19" t="inlineStr">
        <is>
          <t>SCD endpoint validity; follow-up and censoring for all calculators.</t>
        </is>
      </c>
      <c r="F7" s="19" t="inlineStr">
        <is>
          <t>Before training (Phase 9)</t>
        </is>
      </c>
      <c r="G7" s="19" t="inlineStr">
        <is>
          <t>Open</t>
        </is>
      </c>
      <c r="H7" s="19" t="inlineStr"/>
      <c r="I7" s="19" t="inlineStr"/>
    </row>
    <row r="8">
      <c r="A8" s="19" t="n">
        <v>6</v>
      </c>
      <c r="B8" s="19" t="inlineStr">
        <is>
          <t>Model export review</t>
        </is>
      </c>
      <c r="C8" s="19" t="inlineStr">
        <is>
          <t>Is the cell-suppression threshold &lt; 11 correct, and what are the export-review steps, reviewers and expected turnaround?</t>
        </is>
      </c>
      <c r="D8" s="19" t="inlineStr">
        <is>
          <t>Only the reviewed model bundle (weights + aggregate metrics) may leave the workspace.</t>
        </is>
      </c>
      <c r="E8" s="19" t="inlineStr">
        <is>
          <t>Release of the trained bundle to Render (Runbook Phase 10).</t>
        </is>
      </c>
      <c r="F8" s="19" t="inlineStr">
        <is>
          <t>Before deployment (Phase 10)</t>
        </is>
      </c>
      <c r="G8" s="19" t="inlineStr">
        <is>
          <t>Open</t>
        </is>
      </c>
      <c r="H8" s="19" t="inlineStr"/>
      <c r="I8" s="19" t="inlineStr"/>
    </row>
    <row r="9">
      <c r="A9" s="19" t="n">
        <v>7</v>
      </c>
      <c r="B9" s="19" t="inlineStr">
        <is>
          <t>Hosting the exported model</t>
        </is>
      </c>
      <c r="C9" s="19" t="inlineStr">
        <is>
          <t>Does the CardioAI agreement allow hosting the export-approved model bundle in private object storage and serving it from the Render web app?</t>
        </is>
      </c>
      <c r="D9" s="19" t="inlineStr">
        <is>
          <t>The live calculators load the bundle from MODEL_BUNDLE_URL.</t>
        </is>
      </c>
      <c r="E9" s="19" t="inlineStr">
        <is>
          <t>Switching the live app from demo to Mayo-trained models.</t>
        </is>
      </c>
      <c r="F9" s="19" t="inlineStr">
        <is>
          <t>Before deployment (Phase 10)</t>
        </is>
      </c>
      <c r="G9" s="19" t="inlineStr">
        <is>
          <t>Open</t>
        </is>
      </c>
      <c r="H9" s="19" t="inlineStr"/>
      <c r="I9" s="19" t="inlineStr"/>
    </row>
    <row r="10">
      <c r="A10" s="19" t="n">
        <v>8</v>
      </c>
      <c r="B10" s="19" t="inlineStr">
        <is>
          <t>Annotator seats</t>
        </is>
      </c>
      <c r="C10" s="19" t="inlineStr">
        <is>
          <t>Are the 5 annotator seats (cardioailive.com accounts) separate from the data scientists' workspace seats?</t>
        </is>
      </c>
      <c r="D10" s="19" t="inlineStr">
        <is>
          <t>Staffing for adjudication: up to 5 cardiologist readers plus data scientists.</t>
        </is>
      </c>
      <c r="E10" s="19" t="inlineStr">
        <is>
          <t>Reader accounts in the curation workbench (reader_policy).</t>
        </is>
      </c>
      <c r="F10" s="19" t="inlineStr">
        <is>
          <t>Before adjudication (Phase 7)</t>
        </is>
      </c>
      <c r="G10" s="19" t="inlineStr">
        <is>
          <t>Open</t>
        </is>
      </c>
      <c r="H10" s="19" t="inlineStr"/>
      <c r="I10" s="19" t="inlineStr"/>
    </row>
    <row r="11">
      <c r="A11" s="19" t="n">
        <v>9</v>
      </c>
      <c r="B11" s="19" t="inlineStr">
        <is>
          <t>Training in the workspace</t>
        </is>
      </c>
      <c r="C11" s="19" t="inlineStr">
        <is>
          <t>May the synthetic-data training environment and a second curation workbench (port 8091, localhost via JupyterLab) run in the workspace, and may annotator seats be used for training before live adjudication?</t>
        </is>
      </c>
      <c r="D11" s="19" t="inlineStr">
        <is>
          <t>The Label &amp; Annotation Training Program runs inside the workspace on synthetic data.</t>
        </is>
      </c>
      <c r="E11" s="19" t="inlineStr">
        <is>
          <t>Training sessions 1-8 and reader certification.</t>
        </is>
      </c>
      <c r="F11" s="19" t="inlineStr">
        <is>
          <t>Before training session 1</t>
        </is>
      </c>
      <c r="G11" s="19" t="inlineStr">
        <is>
          <t>Open</t>
        </is>
      </c>
      <c r="H11" s="19" t="inlineStr"/>
      <c r="I11" s="19" t="inlineStr"/>
    </row>
    <row r="12">
      <c r="A12" s="19" t="n">
        <v>10</v>
      </c>
      <c r="B12" s="19" t="inlineStr">
        <is>
          <t>Platform_Validate (optional)</t>
        </is>
      </c>
      <c r="C12" s="19" t="inlineStr">
        <is>
          <t>Is Platform_Validate available for an independent bias / sensitivity / specificity report on the trained bundle, and what does submission involve?</t>
        </is>
      </c>
      <c r="D12" s="19" t="inlineStr">
        <is>
          <t>Independent validation strengthens the clinical and regulatory case.</t>
        </is>
      </c>
      <c r="E12" s="19" t="inlineStr">
        <is>
          <t>Optional step in Runbook Phase 10.</t>
        </is>
      </c>
      <c r="F12" s="19" t="inlineStr">
        <is>
          <t>After training (optional)</t>
        </is>
      </c>
      <c r="G12" s="19" t="inlineStr">
        <is>
          <t>Open</t>
        </is>
      </c>
      <c r="H12" s="19" t="inlineStr"/>
      <c r="I12" s="19" t="inlineStr"/>
    </row>
  </sheetData>
  <mergeCells count="1">
    <mergeCell ref="A1:I1"/>
  </mergeCells>
  <dataValidations count="1">
    <dataValidation sqref="G3:G12" showDropDown="0" showInputMessage="0" showErrorMessage="0" allowBlank="1" type="list">
      <formula1>"Open,Asked,Answered,Not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10" min="1" max="1"/>
    <col width="18" customWidth="1" style="10" min="2" max="2"/>
    <col width="11" customWidth="1" style="10" min="3" max="3"/>
    <col width="30" customWidth="1" style="10" min="4" max="4"/>
    <col width="40" customWidth="1" style="10" min="5" max="5"/>
    <col width="30" customWidth="1" style="10" min="6" max="6"/>
    <col width="50" customWidth="1" style="10" min="7" max="7"/>
    <col width="12" customWidth="1" style="10" min="8" max="8"/>
    <col width="10" customWidth="1" style="10" min="9" max="9"/>
  </cols>
  <sheetData>
    <row r="1" ht="30" customHeight="1" s="11">
      <c r="A1" s="20" t="inlineStr">
        <is>
          <t>Primary = the headline risk each calculator shows; secondary = other endpoints the same calculator reports. Codes only create candidates; whether a candidate is an event is decided by auto-labelling and cardiologist adjudication.</t>
        </is>
      </c>
    </row>
    <row r="2" ht="35.05" customHeight="1" s="11">
      <c r="A2" s="14" t="inlineStr">
        <is>
          <t>Calculator</t>
        </is>
      </c>
      <c r="B2" s="14" t="inlineStr">
        <is>
          <t>Endpoint id</t>
        </is>
      </c>
      <c r="C2" s="14" t="inlineStr">
        <is>
          <t>Role</t>
        </is>
      </c>
      <c r="D2" s="14" t="inlineStr">
        <is>
          <t>Endpoint</t>
        </is>
      </c>
      <c r="E2" s="14" t="inlineStr">
        <is>
          <t>Definition (adjudication standard)</t>
        </is>
      </c>
      <c r="F2" s="14" t="inlineStr">
        <is>
          <t>Candidate diagnosis codes</t>
        </is>
      </c>
      <c r="G2" s="14" t="inlineStr">
        <is>
          <t>What counts as an event</t>
        </is>
      </c>
      <c r="H2" s="14" t="inlineStr">
        <is>
          <t>Horizons</t>
        </is>
      </c>
      <c r="I2" s="14" t="inlineStr">
        <is>
          <t>Headline horizon</t>
        </is>
      </c>
    </row>
    <row r="3" ht="23.85" customHeight="1" s="11">
      <c r="A3" s="15" t="inlineStr">
        <is>
          <t>AMI</t>
        </is>
      </c>
      <c r="B3" s="15" t="inlineStr">
        <is>
          <t>ami</t>
        </is>
      </c>
      <c r="C3" s="15" t="inlineStr">
        <is>
          <t>Primary</t>
        </is>
      </c>
      <c r="D3" s="15" t="inlineStr">
        <is>
          <t>Acute myocardial infarction</t>
        </is>
      </c>
      <c r="E3" s="15" t="inlineStr">
        <is>
          <t>Fourth Universal Definition of Myocardial Infarction (Thygesen K et al., Circulation 2018)</t>
        </is>
      </c>
      <c r="F3" s="15" t="inlineStr">
        <is>
          <t>ICD-10: I21, I22
ICD-9: 410</t>
        </is>
      </c>
      <c r="G3" s="15" t="inlineStr">
        <is>
          <t>Confirmed STEMI, NSTEMI or unspecified MI. Type 2 MI excluded (governance ami_include_type2 = false)</t>
        </is>
      </c>
      <c r="H3" s="15" t="inlineStr">
        <is>
          <t>30d, 1y, 5y</t>
        </is>
      </c>
      <c r="I3" s="15" t="inlineStr">
        <is>
          <t>5y</t>
        </is>
      </c>
    </row>
    <row r="4" ht="35.05" customHeight="1" s="11">
      <c r="A4" s="15" t="inlineStr">
        <is>
          <t>Stroke</t>
        </is>
      </c>
      <c r="B4" s="15" t="inlineStr">
        <is>
          <t>any_stroke</t>
        </is>
      </c>
      <c r="C4" s="15" t="inlineStr">
        <is>
          <t>Primary</t>
        </is>
      </c>
      <c r="D4" s="15" t="inlineStr">
        <is>
          <t>Any stroke or TIA</t>
        </is>
      </c>
      <c r="E4" s="15" t="inlineStr">
        <is>
          <t>AHA/ASA updated definition of stroke (Sacco RL et al., Stroke 2013)</t>
        </is>
      </c>
      <c r="F4" s="15" t="inlineStr">
        <is>
          <t>ICD-10: I6[0-3], G45\.[0-389]
ICD-9: 43[0-2], 433\.\d1, 434\.\d1, 435, 436</t>
        </is>
      </c>
      <c r="G4" s="15" t="inlineStr">
        <is>
          <t>Any confirmed stroke / tia event, any subtype</t>
        </is>
      </c>
      <c r="H4" s="15" t="inlineStr">
        <is>
          <t>30d, 1y, 5y</t>
        </is>
      </c>
      <c r="I4" s="15" t="inlineStr">
        <is>
          <t>5y</t>
        </is>
      </c>
    </row>
    <row r="5" ht="35.05" customHeight="1" s="11">
      <c r="A5" s="15" t="inlineStr">
        <is>
          <t>Stroke</t>
        </is>
      </c>
      <c r="B5" s="15" t="inlineStr">
        <is>
          <t>ischemic_stroke</t>
        </is>
      </c>
      <c r="C5" s="15" t="inlineStr">
        <is>
          <t>Secondary</t>
        </is>
      </c>
      <c r="D5" s="15" t="inlineStr">
        <is>
          <t>Ischemic stroke</t>
        </is>
      </c>
      <c r="E5" s="15" t="inlineStr">
        <is>
          <t>AHA/ASA updated definition of stroke (Sacco RL et al., Stroke 2013)</t>
        </is>
      </c>
      <c r="F5" s="15" t="inlineStr">
        <is>
          <t>ICD-10: I6[0-3], G45\.[0-389]
ICD-9: 43[0-2], 433\.\d1, 434\.\d1, 435, 436</t>
        </is>
      </c>
      <c r="G5" s="15" t="inlineStr">
        <is>
          <t>Confirmed stroke event with subtype ischemic; hemorrhagic, tia = known non-event; other/unknown subtype = unresolved</t>
        </is>
      </c>
      <c r="H5" s="15" t="inlineStr">
        <is>
          <t>30d, 1y, 5y</t>
        </is>
      </c>
      <c r="I5" s="15" t="inlineStr">
        <is>
          <t>—</t>
        </is>
      </c>
    </row>
    <row r="6" ht="35.05" customHeight="1" s="11">
      <c r="A6" s="15" t="inlineStr">
        <is>
          <t>Stroke</t>
        </is>
      </c>
      <c r="B6" s="15" t="inlineStr">
        <is>
          <t>hemorrhagic_stroke</t>
        </is>
      </c>
      <c r="C6" s="15" t="inlineStr">
        <is>
          <t>Secondary</t>
        </is>
      </c>
      <c r="D6" s="15" t="inlineStr">
        <is>
          <t>Hemorrhagic stroke</t>
        </is>
      </c>
      <c r="E6" s="15" t="inlineStr">
        <is>
          <t>AHA/ASA updated definition of stroke (Sacco RL et al., Stroke 2013)</t>
        </is>
      </c>
      <c r="F6" s="15" t="inlineStr">
        <is>
          <t>ICD-10: I6[0-3], G45\.[0-389]
ICD-9: 43[0-2], 433\.\d1, 434\.\d1, 435, 436</t>
        </is>
      </c>
      <c r="G6" s="15" t="inlineStr">
        <is>
          <t>Confirmed stroke event with subtype hemorrhagic; ischemic, tia = known non-event; other/unknown subtype = unresolved</t>
        </is>
      </c>
      <c r="H6" s="15" t="inlineStr">
        <is>
          <t>30d, 1y, 5y</t>
        </is>
      </c>
      <c r="I6" s="15" t="inlineStr">
        <is>
          <t>—</t>
        </is>
      </c>
    </row>
    <row r="7" ht="35.05" customHeight="1" s="11">
      <c r="A7" s="15" t="inlineStr">
        <is>
          <t>Stroke</t>
        </is>
      </c>
      <c r="B7" s="15" t="inlineStr">
        <is>
          <t>tia</t>
        </is>
      </c>
      <c r="C7" s="15" t="inlineStr">
        <is>
          <t>Secondary</t>
        </is>
      </c>
      <c r="D7" s="15" t="inlineStr">
        <is>
          <t>Transient ischemic attack</t>
        </is>
      </c>
      <c r="E7" s="15" t="inlineStr">
        <is>
          <t>AHA/ASA updated definition of stroke (Sacco RL et al., Stroke 2013)</t>
        </is>
      </c>
      <c r="F7" s="15" t="inlineStr">
        <is>
          <t>ICD-10: I6[0-3], G45\.[0-389]
ICD-9: 43[0-2], 433\.\d1, 434\.\d1, 435, 436</t>
        </is>
      </c>
      <c r="G7" s="15" t="inlineStr">
        <is>
          <t>Confirmed stroke event with subtype tia; hemorrhagic, ischemic = known non-event; other/unknown subtype = unresolved</t>
        </is>
      </c>
      <c r="H7" s="15" t="inlineStr">
        <is>
          <t>30d, 1y, 5y</t>
        </is>
      </c>
      <c r="I7" s="15" t="inlineStr">
        <is>
          <t>—</t>
        </is>
      </c>
    </row>
    <row r="8" ht="23.85" customHeight="1" s="11">
      <c r="A8" s="15" t="inlineStr">
        <is>
          <t>Heart failure</t>
        </is>
      </c>
      <c r="B8" s="15" t="inlineStr">
        <is>
          <t>hf</t>
        </is>
      </c>
      <c r="C8" s="15" t="inlineStr">
        <is>
          <t>Primary</t>
        </is>
      </c>
      <c r="D8" s="15" t="inlineStr">
        <is>
          <t>Heart failure hospitalization / diagnosis</t>
        </is>
      </c>
      <c r="E8" s="15" t="inlineStr">
        <is>
          <t>Universal Definition of Heart Failure (Bozkurt B et al., J Card Fail 2021)</t>
        </is>
      </c>
      <c r="F8" s="15" t="inlineStr">
        <is>
          <t>ICD-10: I50, I11\.0, I13\.0, I13\.2
ICD-9: 428, 402\.\d1, 404\.\d[13]</t>
        </is>
      </c>
      <c r="G8" s="15" t="inlineStr">
        <is>
          <t>Any confirmed heart failure event, any subtype</t>
        </is>
      </c>
      <c r="H8" s="15" t="inlineStr">
        <is>
          <t>30d, 1y, 5y</t>
        </is>
      </c>
      <c r="I8" s="15" t="inlineStr">
        <is>
          <t>5y</t>
        </is>
      </c>
    </row>
    <row r="9" ht="23.85" customHeight="1" s="11">
      <c r="A9" s="15" t="inlineStr">
        <is>
          <t>Heart failure</t>
        </is>
      </c>
      <c r="B9" s="15" t="inlineStr">
        <is>
          <t>hfref</t>
        </is>
      </c>
      <c r="C9" s="15" t="inlineStr">
        <is>
          <t>Secondary</t>
        </is>
      </c>
      <c r="D9" s="15" t="inlineStr">
        <is>
          <t>HFrEF</t>
        </is>
      </c>
      <c r="E9" s="15" t="inlineStr">
        <is>
          <t>Universal Definition of Heart Failure (Bozkurt B et al., J Card Fail 2021)</t>
        </is>
      </c>
      <c r="F9" s="15" t="inlineStr">
        <is>
          <t>ICD-10: I50, I11\.0, I13\.0, I13\.2
ICD-9: 428, 402\.\d1, 404\.\d[13]</t>
        </is>
      </c>
      <c r="G9" s="15" t="inlineStr">
        <is>
          <t>Confirmed hf event with subtype hfref; hfmref, hfpef = known non-event; other/unknown subtype = unresolved</t>
        </is>
      </c>
      <c r="H9" s="15" t="inlineStr">
        <is>
          <t>30d, 1y, 5y</t>
        </is>
      </c>
      <c r="I9" s="15" t="inlineStr">
        <is>
          <t>—</t>
        </is>
      </c>
    </row>
    <row r="10" ht="23.85" customHeight="1" s="11">
      <c r="A10" s="15" t="inlineStr">
        <is>
          <t>Heart failure</t>
        </is>
      </c>
      <c r="B10" s="15" t="inlineStr">
        <is>
          <t>hfpef</t>
        </is>
      </c>
      <c r="C10" s="15" t="inlineStr">
        <is>
          <t>Secondary</t>
        </is>
      </c>
      <c r="D10" s="15" t="inlineStr">
        <is>
          <t>HFpEF</t>
        </is>
      </c>
      <c r="E10" s="15" t="inlineStr">
        <is>
          <t>Universal Definition of Heart Failure (Bozkurt B et al., J Card Fail 2021)</t>
        </is>
      </c>
      <c r="F10" s="15" t="inlineStr">
        <is>
          <t>ICD-10: I50, I11\.0, I13\.0, I13\.2
ICD-9: 428, 402\.\d1, 404\.\d[13]</t>
        </is>
      </c>
      <c r="G10" s="15" t="inlineStr">
        <is>
          <t>Confirmed hf event with subtype hfpef; hfmref, hfref = known non-event; other/unknown subtype = unresolved</t>
        </is>
      </c>
      <c r="H10" s="15" t="inlineStr">
        <is>
          <t>30d, 1y, 5y</t>
        </is>
      </c>
      <c r="I10" s="15" t="inlineStr">
        <is>
          <t>—</t>
        </is>
      </c>
    </row>
    <row r="11" ht="23.85" customHeight="1" s="11">
      <c r="A11" s="15" t="inlineStr">
        <is>
          <t>SCD</t>
        </is>
      </c>
      <c r="B11" s="15" t="inlineStr">
        <is>
          <t>scd</t>
        </is>
      </c>
      <c r="C11" s="15" t="inlineStr">
        <is>
          <t>Primary</t>
        </is>
      </c>
      <c r="D11" s="15" t="inlineStr">
        <is>
          <t>Cardiac arrest / VF / sustained VT</t>
        </is>
      </c>
      <c r="E11" s="15" t="inlineStr">
        <is>
          <t>2017 AHA/ACC/HRS Ventricular Arrhythmia and SCD Guideline definitions</t>
        </is>
      </c>
      <c r="F11" s="15" t="inlineStr">
        <is>
          <t>ICD-10: I46, I49\.0, I47\.2
ICD-9: 427\.5, 427\.4, 427\.1</t>
        </is>
      </c>
      <c r="G11" s="15" t="inlineStr">
        <is>
          <t>Any confirmed sudden cardiac arrest / ventricular arrhythmia event, any subtype</t>
        </is>
      </c>
      <c r="H11" s="15" t="inlineStr">
        <is>
          <t>30d, 1y, 5y</t>
        </is>
      </c>
      <c r="I11" s="15" t="inlineStr">
        <is>
          <t>5y</t>
        </is>
      </c>
    </row>
    <row r="12" ht="35.05" customHeight="1" s="11">
      <c r="A12" s="15" t="inlineStr">
        <is>
          <t>AF</t>
        </is>
      </c>
      <c r="B12" s="15" t="inlineStr">
        <is>
          <t>af</t>
        </is>
      </c>
      <c r="C12" s="15" t="inlineStr">
        <is>
          <t>Primary</t>
        </is>
      </c>
      <c r="D12" s="15" t="inlineStr">
        <is>
          <t>New-onset atrial fibrillation / flutter</t>
        </is>
      </c>
      <c r="E12" s="15" t="inlineStr">
        <is>
          <t>2023 ACC/AHA/ACCP/HRS AF Guideline: ECG-documented AF ≥30 s</t>
        </is>
      </c>
      <c r="F12" s="15" t="inlineStr">
        <is>
          <t>ICD-10: I48
ICD-9: 427\.3</t>
        </is>
      </c>
      <c r="G12" s="15" t="inlineStr">
        <is>
          <t>Confirmed new AF or flutter. Post-operative AF excluded (af_exclude_postoperative = true); patients with AF before index not eligible</t>
        </is>
      </c>
      <c r="H12" s="15" t="inlineStr">
        <is>
          <t>30d, 1y, 5y</t>
        </is>
      </c>
      <c r="I12" s="15" t="inlineStr">
        <is>
          <t>5y</t>
        </is>
      </c>
    </row>
  </sheetData>
  <autoFilter ref="A2:I12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10" min="1" max="1"/>
    <col width="30" customWidth="1" style="10" min="2" max="2"/>
    <col width="13" customWidth="1" style="10" min="3" max="3"/>
    <col width="9" customWidth="1" style="10" min="4" max="4"/>
    <col width="22" customWidth="1" style="10" min="5" max="5"/>
    <col width="9" customWidth="1" style="10" min="6" max="6"/>
    <col width="15" customWidth="1" style="10" min="7" max="7"/>
    <col width="6" customWidth="1" style="10" min="8" max="8"/>
    <col width="7" customWidth="1" style="10" min="9" max="9"/>
    <col width="6" customWidth="1" style="10" min="10" max="12"/>
    <col width="28" customWidth="1" style="10" min="13" max="13"/>
    <col width="60" customWidth="1" style="10" min="14" max="14"/>
  </cols>
  <sheetData>
    <row r="1" ht="30" customHeight="1" s="11">
      <c r="A1" s="20" t="inlineStr">
        <is>
          <t>Inputs entered in the Render app and extracted the same way from OMOP for training. Missing optional values are handled natively by the models. Y = shown on that calculator's form.</t>
        </is>
      </c>
    </row>
    <row r="2" ht="23.85" customHeight="1" s="11">
      <c r="A2" s="14" t="inlineStr">
        <is>
          <t>Input key</t>
        </is>
      </c>
      <c r="B2" s="14" t="inlineStr">
        <is>
          <t>Label</t>
        </is>
      </c>
      <c r="C2" s="14" t="inlineStr">
        <is>
          <t>Unit</t>
        </is>
      </c>
      <c r="D2" s="14" t="inlineStr">
        <is>
          <t>Type</t>
        </is>
      </c>
      <c r="E2" s="14" t="inlineStr">
        <is>
          <t>Allowed range / options</t>
        </is>
      </c>
      <c r="F2" s="14" t="inlineStr">
        <is>
          <t>Required</t>
        </is>
      </c>
      <c r="G2" s="14" t="inlineStr">
        <is>
          <t>Section</t>
        </is>
      </c>
      <c r="H2" s="14" t="inlineStr">
        <is>
          <t>AMI</t>
        </is>
      </c>
      <c r="I2" s="14" t="inlineStr">
        <is>
          <t>Stroke</t>
        </is>
      </c>
      <c r="J2" s="14" t="inlineStr">
        <is>
          <t>HF</t>
        </is>
      </c>
      <c r="K2" s="14" t="inlineStr">
        <is>
          <t>SCD</t>
        </is>
      </c>
      <c r="L2" s="14" t="inlineStr">
        <is>
          <t>AF</t>
        </is>
      </c>
      <c r="M2" s="14" t="inlineStr">
        <is>
          <t>Model features derived</t>
        </is>
      </c>
      <c r="N2" s="14" t="inlineStr">
        <is>
          <t>Source on Mayo Clinic Platform (training)</t>
        </is>
      </c>
    </row>
    <row r="3" ht="23.85" customHeight="1" s="11">
      <c r="A3" s="15" t="inlineStr">
        <is>
          <t>age</t>
        </is>
      </c>
      <c r="B3" s="15" t="inlineStr">
        <is>
          <t>Age</t>
        </is>
      </c>
      <c r="C3" s="15" t="inlineStr">
        <is>
          <t>years</t>
        </is>
      </c>
      <c r="D3" s="15" t="inlineStr">
        <is>
          <t>number</t>
        </is>
      </c>
      <c r="E3" s="15" t="inlineStr">
        <is>
          <t>18–100</t>
        </is>
      </c>
      <c r="F3" s="15" t="inlineStr">
        <is>
          <t>Yes</t>
        </is>
      </c>
      <c r="G3" s="15" t="inlineStr">
        <is>
          <t>Demographics</t>
        </is>
      </c>
      <c r="H3" s="15" t="inlineStr">
        <is>
          <t>Y</t>
        </is>
      </c>
      <c r="I3" s="15" t="inlineStr">
        <is>
          <t>Y</t>
        </is>
      </c>
      <c r="J3" s="15" t="inlineStr">
        <is>
          <t>Y</t>
        </is>
      </c>
      <c r="K3" s="15" t="inlineStr">
        <is>
          <t>Y</t>
        </is>
      </c>
      <c r="L3" s="15" t="inlineStr">
        <is>
          <t>Y</t>
        </is>
      </c>
      <c r="M3" s="15" t="inlineStr">
        <is>
          <t>age</t>
        </is>
      </c>
      <c r="N3" s="15" t="inlineStr">
        <is>
          <t>OMOP person (birth date, gender, race, ethnicity; Hispanic ethnicity → hispanic)</t>
        </is>
      </c>
    </row>
    <row r="4" ht="23.85" customHeight="1" s="11">
      <c r="A4" s="15" t="inlineStr">
        <is>
          <t>sex</t>
        </is>
      </c>
      <c r="B4" s="15" t="inlineStr">
        <is>
          <t>Sex</t>
        </is>
      </c>
      <c r="C4" s="15" t="n"/>
      <c r="D4" s="15" t="inlineStr">
        <is>
          <t>select</t>
        </is>
      </c>
      <c r="E4" s="15" t="inlineStr">
        <is>
          <t>male, female</t>
        </is>
      </c>
      <c r="F4" s="15" t="inlineStr">
        <is>
          <t>Yes</t>
        </is>
      </c>
      <c r="G4" s="15" t="inlineStr">
        <is>
          <t>Demographics</t>
        </is>
      </c>
      <c r="H4" s="15" t="inlineStr">
        <is>
          <t>Y</t>
        </is>
      </c>
      <c r="I4" s="15" t="inlineStr">
        <is>
          <t>Y</t>
        </is>
      </c>
      <c r="J4" s="15" t="inlineStr">
        <is>
          <t>Y</t>
        </is>
      </c>
      <c r="K4" s="15" t="inlineStr">
        <is>
          <t>Y</t>
        </is>
      </c>
      <c r="L4" s="15" t="inlineStr">
        <is>
          <t>Y</t>
        </is>
      </c>
      <c r="M4" s="15" t="inlineStr">
        <is>
          <t>sex_male</t>
        </is>
      </c>
      <c r="N4" s="15" t="inlineStr">
        <is>
          <t>OMOP person (birth date, gender, race, ethnicity; Hispanic ethnicity → hispanic)</t>
        </is>
      </c>
    </row>
    <row r="5" ht="23.85" customHeight="1" s="11">
      <c r="A5" s="15" t="inlineStr">
        <is>
          <t>race</t>
        </is>
      </c>
      <c r="B5" s="15" t="inlineStr">
        <is>
          <t>Race/Ethnicity</t>
        </is>
      </c>
      <c r="C5" s="15" t="n"/>
      <c r="D5" s="15" t="inlineStr">
        <is>
          <t>select</t>
        </is>
      </c>
      <c r="E5" s="15" t="inlineStr">
        <is>
          <t>white, black, hispanic, asian, other</t>
        </is>
      </c>
      <c r="F5" s="15" t="inlineStr">
        <is>
          <t>Yes</t>
        </is>
      </c>
      <c r="G5" s="15" t="inlineStr">
        <is>
          <t>Demographics</t>
        </is>
      </c>
      <c r="H5" s="15" t="inlineStr">
        <is>
          <t>Y</t>
        </is>
      </c>
      <c r="I5" s="15" t="inlineStr">
        <is>
          <t>Y</t>
        </is>
      </c>
      <c r="J5" s="15" t="inlineStr">
        <is>
          <t>Y</t>
        </is>
      </c>
      <c r="K5" s="15" t="inlineStr">
        <is>
          <t>Y</t>
        </is>
      </c>
      <c r="L5" s="15" t="inlineStr">
        <is>
          <t>Y</t>
        </is>
      </c>
      <c r="M5" s="15" t="inlineStr">
        <is>
          <t>race_black, race_hispanic, race_asian, race_other</t>
        </is>
      </c>
      <c r="N5" s="15" t="inlineStr">
        <is>
          <t>OMOP person (birth date, gender, race, ethnicity; Hispanic ethnicity → hispanic)</t>
        </is>
      </c>
    </row>
    <row r="6" ht="23.85" customHeight="1" s="11">
      <c r="A6" s="15" t="inlineStr">
        <is>
          <t>height_cm</t>
        </is>
      </c>
      <c r="B6" s="15" t="inlineStr">
        <is>
          <t>Height</t>
        </is>
      </c>
      <c r="C6" s="15" t="inlineStr">
        <is>
          <t>cm</t>
        </is>
      </c>
      <c r="D6" s="15" t="inlineStr">
        <is>
          <t>number</t>
        </is>
      </c>
      <c r="E6" s="15" t="inlineStr">
        <is>
          <t>120–220</t>
        </is>
      </c>
      <c r="F6" s="15" t="inlineStr">
        <is>
          <t>No</t>
        </is>
      </c>
      <c r="G6" s="15" t="inlineStr">
        <is>
          <t>Demographics</t>
        </is>
      </c>
      <c r="H6" s="15" t="inlineStr">
        <is>
          <t>Y</t>
        </is>
      </c>
      <c r="I6" s="15" t="inlineStr">
        <is>
          <t>Y</t>
        </is>
      </c>
      <c r="J6" s="15" t="inlineStr">
        <is>
          <t>Y</t>
        </is>
      </c>
      <c r="K6" s="15" t="inlineStr">
        <is>
          <t>Y</t>
        </is>
      </c>
      <c r="L6" s="15" t="inlineStr">
        <is>
          <t>Y</t>
        </is>
      </c>
      <c r="M6" s="15" t="inlineStr">
        <is>
          <t>height_cm, bmi</t>
        </is>
      </c>
      <c r="N6" s="15" t="inlineStr">
        <is>
          <t>OMOP measurement, LOINC 8302-2, 3137-7; latest value ≤730 d before index</t>
        </is>
      </c>
    </row>
    <row r="7" ht="23.85" customHeight="1" s="11">
      <c r="A7" s="15" t="inlineStr">
        <is>
          <t>weight_kg</t>
        </is>
      </c>
      <c r="B7" s="15" t="inlineStr">
        <is>
          <t>Weight</t>
        </is>
      </c>
      <c r="C7" s="15" t="inlineStr">
        <is>
          <t>kg</t>
        </is>
      </c>
      <c r="D7" s="15" t="inlineStr">
        <is>
          <t>number</t>
        </is>
      </c>
      <c r="E7" s="15" t="inlineStr">
        <is>
          <t>30–300</t>
        </is>
      </c>
      <c r="F7" s="15" t="inlineStr">
        <is>
          <t>No</t>
        </is>
      </c>
      <c r="G7" s="15" t="inlineStr">
        <is>
          <t>Demographics</t>
        </is>
      </c>
      <c r="H7" s="15" t="inlineStr">
        <is>
          <t>Y</t>
        </is>
      </c>
      <c r="I7" s="15" t="inlineStr">
        <is>
          <t>Y</t>
        </is>
      </c>
      <c r="J7" s="15" t="inlineStr">
        <is>
          <t>Y</t>
        </is>
      </c>
      <c r="K7" s="15" t="inlineStr">
        <is>
          <t>Y</t>
        </is>
      </c>
      <c r="L7" s="15" t="inlineStr">
        <is>
          <t>Y</t>
        </is>
      </c>
      <c r="M7" s="15" t="inlineStr">
        <is>
          <t>weight_kg, bmi</t>
        </is>
      </c>
      <c r="N7" s="15" t="inlineStr">
        <is>
          <t>OMOP measurement, LOINC 29463-7, 3141-9; latest value ≤730 d before index</t>
        </is>
      </c>
    </row>
    <row r="8" ht="23.85" customHeight="1" s="11">
      <c r="A8" s="15" t="inlineStr">
        <is>
          <t>prior_mi</t>
        </is>
      </c>
      <c r="B8" s="15" t="inlineStr">
        <is>
          <t>Prior MI</t>
        </is>
      </c>
      <c r="C8" s="15" t="n"/>
      <c r="D8" s="15" t="inlineStr">
        <is>
          <t>bool</t>
        </is>
      </c>
      <c r="E8" s="15" t="inlineStr">
        <is>
          <t>yes / no</t>
        </is>
      </c>
      <c r="F8" s="15" t="inlineStr">
        <is>
          <t>No</t>
        </is>
      </c>
      <c r="G8" s="15" t="inlineStr">
        <is>
          <t>Clinical history</t>
        </is>
      </c>
      <c r="H8" s="15" t="inlineStr">
        <is>
          <t>Y</t>
        </is>
      </c>
      <c r="I8" s="15" t="inlineStr">
        <is>
          <t>Y</t>
        </is>
      </c>
      <c r="J8" s="15" t="inlineStr">
        <is>
          <t>Y</t>
        </is>
      </c>
      <c r="K8" s="15" t="inlineStr">
        <is>
          <t>Y</t>
        </is>
      </c>
      <c r="L8" s="15" t="inlineStr">
        <is>
          <t>Y</t>
        </is>
      </c>
      <c r="M8" s="15" t="inlineStr">
        <is>
          <t>prior_mi</t>
        </is>
      </c>
      <c r="N8" s="15" t="inlineStr">
        <is>
          <t>OMOP condition_occurrence / observation on or before index: ICD-10 I21, I22, I25\.2; ICD-9 410, 412</t>
        </is>
      </c>
    </row>
    <row r="9" ht="23.85" customHeight="1" s="11">
      <c r="A9" s="15" t="inlineStr">
        <is>
          <t>prior_stroke</t>
        </is>
      </c>
      <c r="B9" s="15" t="inlineStr">
        <is>
          <t>Prior Stroke/TIA</t>
        </is>
      </c>
      <c r="C9" s="15" t="n"/>
      <c r="D9" s="15" t="inlineStr">
        <is>
          <t>bool</t>
        </is>
      </c>
      <c r="E9" s="15" t="inlineStr">
        <is>
          <t>yes / no</t>
        </is>
      </c>
      <c r="F9" s="15" t="inlineStr">
        <is>
          <t>No</t>
        </is>
      </c>
      <c r="G9" s="15" t="inlineStr">
        <is>
          <t>Clinical history</t>
        </is>
      </c>
      <c r="H9" s="15" t="inlineStr">
        <is>
          <t>Y</t>
        </is>
      </c>
      <c r="I9" s="15" t="inlineStr">
        <is>
          <t>Y</t>
        </is>
      </c>
      <c r="J9" s="15" t="inlineStr">
        <is>
          <t>Y</t>
        </is>
      </c>
      <c r="K9" s="15" t="inlineStr">
        <is>
          <t>Y</t>
        </is>
      </c>
      <c r="L9" s="15" t="inlineStr">
        <is>
          <t>Y</t>
        </is>
      </c>
      <c r="M9" s="15" t="inlineStr">
        <is>
          <t>prior_stroke</t>
        </is>
      </c>
      <c r="N9" s="15" t="inlineStr">
        <is>
          <t>OMOP condition_occurrence / observation on or before index: ICD-10 I6[0-3], G45, Z86\.73; ICD-9 43[0-6], V12\.54</t>
        </is>
      </c>
    </row>
    <row r="10" ht="23.85" customHeight="1" s="11">
      <c r="A10" s="15" t="inlineStr">
        <is>
          <t>angina</t>
        </is>
      </c>
      <c r="B10" s="15" t="inlineStr">
        <is>
          <t>Angina</t>
        </is>
      </c>
      <c r="C10" s="15" t="n"/>
      <c r="D10" s="15" t="inlineStr">
        <is>
          <t>bool</t>
        </is>
      </c>
      <c r="E10" s="15" t="inlineStr">
        <is>
          <t>yes / no</t>
        </is>
      </c>
      <c r="F10" s="15" t="inlineStr">
        <is>
          <t>No</t>
        </is>
      </c>
      <c r="G10" s="15" t="inlineStr">
        <is>
          <t>Clinical history</t>
        </is>
      </c>
      <c r="H10" s="15" t="inlineStr">
        <is>
          <t>Y</t>
        </is>
      </c>
      <c r="I10" s="15" t="inlineStr">
        <is>
          <t>Y</t>
        </is>
      </c>
      <c r="J10" s="15" t="inlineStr">
        <is>
          <t>Y</t>
        </is>
      </c>
      <c r="K10" s="15" t="inlineStr">
        <is>
          <t>Y</t>
        </is>
      </c>
      <c r="L10" s="15" t="inlineStr">
        <is>
          <t>Y</t>
        </is>
      </c>
      <c r="M10" s="15" t="inlineStr">
        <is>
          <t>angina</t>
        </is>
      </c>
      <c r="N10" s="15" t="inlineStr">
        <is>
          <t>OMOP condition_occurrence / observation on or before index: ICD-10 I20; ICD-9 413</t>
        </is>
      </c>
    </row>
    <row r="11" ht="23.85" customHeight="1" s="11">
      <c r="A11" s="15" t="inlineStr">
        <is>
          <t>heart_failure</t>
        </is>
      </c>
      <c r="B11" s="15" t="inlineStr">
        <is>
          <t>Heart Failure</t>
        </is>
      </c>
      <c r="C11" s="15" t="n"/>
      <c r="D11" s="15" t="inlineStr">
        <is>
          <t>bool</t>
        </is>
      </c>
      <c r="E11" s="15" t="inlineStr">
        <is>
          <t>yes / no</t>
        </is>
      </c>
      <c r="F11" s="15" t="inlineStr">
        <is>
          <t>No</t>
        </is>
      </c>
      <c r="G11" s="15" t="inlineStr">
        <is>
          <t>Clinical history</t>
        </is>
      </c>
      <c r="H11" s="15" t="inlineStr">
        <is>
          <t>Y</t>
        </is>
      </c>
      <c r="I11" s="15" t="inlineStr">
        <is>
          <t>Y</t>
        </is>
      </c>
      <c r="J11" s="15" t="inlineStr">
        <is>
          <t>Y</t>
        </is>
      </c>
      <c r="K11" s="15" t="inlineStr">
        <is>
          <t>Y</t>
        </is>
      </c>
      <c r="L11" s="15" t="inlineStr">
        <is>
          <t>Y</t>
        </is>
      </c>
      <c r="M11" s="15" t="inlineStr">
        <is>
          <t>heart_failure</t>
        </is>
      </c>
      <c r="N11" s="15" t="inlineStr">
        <is>
          <t>OMOP condition_occurrence / observation on or before index: ICD-10 I50, I11\.0, I13\.0, I13\.2; ICD-9 428</t>
        </is>
      </c>
    </row>
    <row r="12" ht="23.85" customHeight="1" s="11">
      <c r="A12" s="15" t="inlineStr">
        <is>
          <t>afib</t>
        </is>
      </c>
      <c r="B12" s="15" t="inlineStr">
        <is>
          <t>Atrial Fibrillation</t>
        </is>
      </c>
      <c r="C12" s="15" t="n"/>
      <c r="D12" s="15" t="inlineStr">
        <is>
          <t>bool</t>
        </is>
      </c>
      <c r="E12" s="15" t="inlineStr">
        <is>
          <t>yes / no</t>
        </is>
      </c>
      <c r="F12" s="15" t="inlineStr">
        <is>
          <t>No</t>
        </is>
      </c>
      <c r="G12" s="15" t="inlineStr">
        <is>
          <t>Clinical history</t>
        </is>
      </c>
      <c r="H12" s="15" t="inlineStr">
        <is>
          <t>Y</t>
        </is>
      </c>
      <c r="I12" s="15" t="inlineStr">
        <is>
          <t>Y</t>
        </is>
      </c>
      <c r="J12" s="15" t="inlineStr">
        <is>
          <t>Y</t>
        </is>
      </c>
      <c r="K12" s="15" t="inlineStr">
        <is>
          <t>Y</t>
        </is>
      </c>
      <c r="L12" s="15" t="inlineStr">
        <is>
          <t>Y</t>
        </is>
      </c>
      <c r="M12" s="15" t="inlineStr">
        <is>
          <t>afib</t>
        </is>
      </c>
      <c r="N12" s="15" t="inlineStr">
        <is>
          <t>OMOP condition_occurrence / observation on or before index: ICD-10 I48; ICD-9 427\.3</t>
        </is>
      </c>
    </row>
    <row r="13" ht="23.85" customHeight="1" s="11">
      <c r="A13" s="15" t="inlineStr">
        <is>
          <t>family_hx_cad</t>
        </is>
      </c>
      <c r="B13" s="15" t="inlineStr">
        <is>
          <t>Family History CAD</t>
        </is>
      </c>
      <c r="C13" s="15" t="n"/>
      <c r="D13" s="15" t="inlineStr">
        <is>
          <t>bool</t>
        </is>
      </c>
      <c r="E13" s="15" t="inlineStr">
        <is>
          <t>yes / no</t>
        </is>
      </c>
      <c r="F13" s="15" t="inlineStr">
        <is>
          <t>No</t>
        </is>
      </c>
      <c r="G13" s="15" t="inlineStr">
        <is>
          <t>Clinical history</t>
        </is>
      </c>
      <c r="H13" s="15" t="inlineStr">
        <is>
          <t>Y</t>
        </is>
      </c>
      <c r="I13" s="15" t="inlineStr">
        <is>
          <t>Y</t>
        </is>
      </c>
      <c r="J13" s="15" t="inlineStr">
        <is>
          <t>Y</t>
        </is>
      </c>
      <c r="K13" s="15" t="inlineStr">
        <is>
          <t>Y</t>
        </is>
      </c>
      <c r="L13" s="15" t="inlineStr">
        <is>
          <t>Y</t>
        </is>
      </c>
      <c r="M13" s="15" t="inlineStr">
        <is>
          <t>family_hx_cad</t>
        </is>
      </c>
      <c r="N13" s="15" t="inlineStr">
        <is>
          <t>OMOP condition_occurrence / observation on or before index: ICD-10 Z82\.49; ICD-9 V17\.3</t>
        </is>
      </c>
    </row>
    <row r="14" ht="23.85" customHeight="1" s="11">
      <c r="A14" s="15" t="inlineStr">
        <is>
          <t>hypertension</t>
        </is>
      </c>
      <c r="B14" s="15" t="inlineStr">
        <is>
          <t>Hypertension diagnosis</t>
        </is>
      </c>
      <c r="C14" s="15" t="n"/>
      <c r="D14" s="15" t="inlineStr">
        <is>
          <t>bool</t>
        </is>
      </c>
      <c r="E14" s="15" t="inlineStr">
        <is>
          <t>yes / no</t>
        </is>
      </c>
      <c r="F14" s="15" t="inlineStr">
        <is>
          <t>No</t>
        </is>
      </c>
      <c r="G14" s="15" t="inlineStr">
        <is>
          <t>Clinical history</t>
        </is>
      </c>
      <c r="H14" s="15" t="inlineStr">
        <is>
          <t>Y</t>
        </is>
      </c>
      <c r="I14" s="15" t="inlineStr">
        <is>
          <t>Y</t>
        </is>
      </c>
      <c r="J14" s="15" t="inlineStr">
        <is>
          <t>Y</t>
        </is>
      </c>
      <c r="K14" s="15" t="inlineStr">
        <is>
          <t>Y</t>
        </is>
      </c>
      <c r="L14" s="15" t="inlineStr">
        <is>
          <t>Y</t>
        </is>
      </c>
      <c r="M14" s="15" t="inlineStr">
        <is>
          <t>hypertension</t>
        </is>
      </c>
      <c r="N14" s="15" t="inlineStr">
        <is>
          <t>OMOP condition_occurrence / observation on or before index: ICD-10 I1[0-6]; ICD-9 40[1-5]</t>
        </is>
      </c>
    </row>
    <row r="15" ht="23.85" customHeight="1" s="11">
      <c r="A15" s="15" t="inlineStr">
        <is>
          <t>pad</t>
        </is>
      </c>
      <c r="B15" s="15" t="inlineStr">
        <is>
          <t>Peripheral artery disease</t>
        </is>
      </c>
      <c r="C15" s="15" t="n"/>
      <c r="D15" s="15" t="inlineStr">
        <is>
          <t>bool</t>
        </is>
      </c>
      <c r="E15" s="15" t="inlineStr">
        <is>
          <t>yes / no</t>
        </is>
      </c>
      <c r="F15" s="15" t="inlineStr">
        <is>
          <t>No</t>
        </is>
      </c>
      <c r="G15" s="15" t="inlineStr">
        <is>
          <t>Clinical history</t>
        </is>
      </c>
      <c r="H15" s="15" t="inlineStr">
        <is>
          <t>Y</t>
        </is>
      </c>
      <c r="I15" s="15" t="inlineStr">
        <is>
          <t>Y</t>
        </is>
      </c>
      <c r="J15" s="15" t="inlineStr">
        <is>
          <t>Y</t>
        </is>
      </c>
      <c r="K15" s="15" t="inlineStr">
        <is>
          <t>Y</t>
        </is>
      </c>
      <c r="L15" s="15" t="inlineStr">
        <is>
          <t>Y</t>
        </is>
      </c>
      <c r="M15" s="15" t="inlineStr">
        <is>
          <t>pad</t>
        </is>
      </c>
      <c r="N15" s="15" t="inlineStr">
        <is>
          <t>OMOP condition_occurrence / observation on or before index: ICD-10 I70\.2, I73\.9; ICD-9 440\.2, 443\.9</t>
        </is>
      </c>
    </row>
    <row r="16" ht="23.85" customHeight="1" s="11">
      <c r="A16" s="15" t="inlineStr">
        <is>
          <t>sbp</t>
        </is>
      </c>
      <c r="B16" s="15" t="inlineStr">
        <is>
          <t>Systolic BP</t>
        </is>
      </c>
      <c r="C16" s="15" t="inlineStr">
        <is>
          <t>mmHg</t>
        </is>
      </c>
      <c r="D16" s="15" t="inlineStr">
        <is>
          <t>number</t>
        </is>
      </c>
      <c r="E16" s="15" t="inlineStr">
        <is>
          <t>70–250</t>
        </is>
      </c>
      <c r="F16" s="15" t="inlineStr">
        <is>
          <t>Yes</t>
        </is>
      </c>
      <c r="G16" s="15" t="inlineStr">
        <is>
          <t>Risk factors</t>
        </is>
      </c>
      <c r="H16" s="15" t="inlineStr">
        <is>
          <t>Y</t>
        </is>
      </c>
      <c r="I16" s="15" t="inlineStr">
        <is>
          <t>Y</t>
        </is>
      </c>
      <c r="J16" s="15" t="inlineStr">
        <is>
          <t>Y</t>
        </is>
      </c>
      <c r="K16" s="15" t="inlineStr">
        <is>
          <t>Y</t>
        </is>
      </c>
      <c r="L16" s="15" t="inlineStr">
        <is>
          <t>Y</t>
        </is>
      </c>
      <c r="M16" s="15" t="inlineStr">
        <is>
          <t>sbp</t>
        </is>
      </c>
      <c r="N16" s="15" t="inlineStr">
        <is>
          <t>OMOP measurement, LOINC 8480-6, 8459-0; latest value ≤730 d before index</t>
        </is>
      </c>
    </row>
    <row r="17" ht="23.85" customHeight="1" s="11">
      <c r="A17" s="15" t="inlineStr">
        <is>
          <t>dbp</t>
        </is>
      </c>
      <c r="B17" s="15" t="inlineStr">
        <is>
          <t>Diastolic BP</t>
        </is>
      </c>
      <c r="C17" s="15" t="inlineStr">
        <is>
          <t>mmHg</t>
        </is>
      </c>
      <c r="D17" s="15" t="inlineStr">
        <is>
          <t>number</t>
        </is>
      </c>
      <c r="E17" s="15" t="inlineStr">
        <is>
          <t>40–150</t>
        </is>
      </c>
      <c r="F17" s="15" t="inlineStr">
        <is>
          <t>No</t>
        </is>
      </c>
      <c r="G17" s="15" t="inlineStr">
        <is>
          <t>Risk factors</t>
        </is>
      </c>
      <c r="H17" s="15" t="inlineStr">
        <is>
          <t>Y</t>
        </is>
      </c>
      <c r="I17" s="15" t="inlineStr">
        <is>
          <t>Y</t>
        </is>
      </c>
      <c r="J17" s="15" t="inlineStr">
        <is>
          <t>Y</t>
        </is>
      </c>
      <c r="K17" s="15" t="inlineStr">
        <is>
          <t>Y</t>
        </is>
      </c>
      <c r="L17" s="15" t="inlineStr">
        <is>
          <t>Y</t>
        </is>
      </c>
      <c r="M17" s="15" t="inlineStr">
        <is>
          <t>dbp</t>
        </is>
      </c>
      <c r="N17" s="15" t="inlineStr">
        <is>
          <t>OMOP measurement, LOINC 8462-4, 8453-3; latest value ≤730 d before index</t>
        </is>
      </c>
    </row>
    <row r="18" ht="23.85" customHeight="1" s="11">
      <c r="A18" s="15" t="inlineStr">
        <is>
          <t>smoking</t>
        </is>
      </c>
      <c r="B18" s="15" t="inlineStr">
        <is>
          <t>Smoking Status</t>
        </is>
      </c>
      <c r="C18" s="15" t="n"/>
      <c r="D18" s="15" t="inlineStr">
        <is>
          <t>select</t>
        </is>
      </c>
      <c r="E18" s="15" t="inlineStr">
        <is>
          <t>never, former, current</t>
        </is>
      </c>
      <c r="F18" s="15" t="inlineStr">
        <is>
          <t>No</t>
        </is>
      </c>
      <c r="G18" s="15" t="inlineStr">
        <is>
          <t>Risk factors</t>
        </is>
      </c>
      <c r="H18" s="15" t="inlineStr">
        <is>
          <t>Y</t>
        </is>
      </c>
      <c r="I18" s="15" t="inlineStr">
        <is>
          <t>Y</t>
        </is>
      </c>
      <c r="J18" s="15" t="inlineStr">
        <is>
          <t>Y</t>
        </is>
      </c>
      <c r="K18" s="15" t="inlineStr">
        <is>
          <t>Y</t>
        </is>
      </c>
      <c r="L18" s="15" t="inlineStr">
        <is>
          <t>Y</t>
        </is>
      </c>
      <c r="M18" s="15" t="inlineStr">
        <is>
          <t>smoking_former, smoking_current</t>
        </is>
      </c>
      <c r="N18" s="15" t="inlineStr">
        <is>
          <t>Diagnosis codes: current = F17.2/Z72.0 within 730 d; former = Z87.891 / older current codes</t>
        </is>
      </c>
    </row>
    <row r="19" ht="23.85" customHeight="1" s="11">
      <c r="A19" s="15" t="inlineStr">
        <is>
          <t>diabetes</t>
        </is>
      </c>
      <c r="B19" s="15" t="inlineStr">
        <is>
          <t>Diabetes Status</t>
        </is>
      </c>
      <c r="C19" s="15" t="n"/>
      <c r="D19" s="15" t="inlineStr">
        <is>
          <t>select</t>
        </is>
      </c>
      <c r="E19" s="15" t="inlineStr">
        <is>
          <t>none, prediabetes, type1, type2</t>
        </is>
      </c>
      <c r="F19" s="15" t="inlineStr">
        <is>
          <t>No</t>
        </is>
      </c>
      <c r="G19" s="15" t="inlineStr">
        <is>
          <t>Risk factors</t>
        </is>
      </c>
      <c r="H19" s="15" t="inlineStr">
        <is>
          <t>Y</t>
        </is>
      </c>
      <c r="I19" s="15" t="inlineStr">
        <is>
          <t>Y</t>
        </is>
      </c>
      <c r="J19" s="15" t="inlineStr">
        <is>
          <t>Y</t>
        </is>
      </c>
      <c r="K19" s="15" t="inlineStr">
        <is>
          <t>Y</t>
        </is>
      </c>
      <c r="L19" s="15" t="inlineStr">
        <is>
          <t>Y</t>
        </is>
      </c>
      <c r="M19" s="15" t="inlineStr">
        <is>
          <t>diabetes_pre, diabetes_t1, diabetes_t2</t>
        </is>
      </c>
      <c r="N19" s="15" t="inlineStr">
        <is>
          <t>E11 → type 2, E10 → type 1, R73.0 or HbA1c 5.7–6.4% → prediabetes; HbA1c ≥6.5% → type 2</t>
        </is>
      </c>
    </row>
    <row r="20" ht="15" customHeight="1" s="11">
      <c r="A20" s="15" t="inlineStr">
        <is>
          <t>total_chol</t>
        </is>
      </c>
      <c r="B20" s="15" t="inlineStr">
        <is>
          <t>Total Cholesterol</t>
        </is>
      </c>
      <c r="C20" s="15" t="inlineStr">
        <is>
          <t>mg/dL</t>
        </is>
      </c>
      <c r="D20" s="15" t="inlineStr">
        <is>
          <t>number</t>
        </is>
      </c>
      <c r="E20" s="15" t="inlineStr">
        <is>
          <t>80–400</t>
        </is>
      </c>
      <c r="F20" s="15" t="inlineStr">
        <is>
          <t>No</t>
        </is>
      </c>
      <c r="G20" s="15" t="inlineStr">
        <is>
          <t>Laboratory</t>
        </is>
      </c>
      <c r="H20" s="15" t="inlineStr">
        <is>
          <t>Y</t>
        </is>
      </c>
      <c r="I20" s="15" t="inlineStr">
        <is>
          <t>Y</t>
        </is>
      </c>
      <c r="J20" s="15" t="inlineStr">
        <is>
          <t>Y</t>
        </is>
      </c>
      <c r="K20" s="15" t="inlineStr">
        <is>
          <t>Y</t>
        </is>
      </c>
      <c r="L20" s="15" t="inlineStr">
        <is>
          <t>Y</t>
        </is>
      </c>
      <c r="M20" s="15" t="inlineStr">
        <is>
          <t>total_chol, non_hdl</t>
        </is>
      </c>
      <c r="N20" s="15" t="inlineStr">
        <is>
          <t>OMOP measurement, LOINC 2093-3; latest value ≤730 d before index</t>
        </is>
      </c>
    </row>
    <row r="21" ht="15" customHeight="1" s="11">
      <c r="A21" s="15" t="inlineStr">
        <is>
          <t>hdl</t>
        </is>
      </c>
      <c r="B21" s="15" t="inlineStr">
        <is>
          <t>HDL Cholesterol</t>
        </is>
      </c>
      <c r="C21" s="15" t="inlineStr">
        <is>
          <t>mg/dL</t>
        </is>
      </c>
      <c r="D21" s="15" t="inlineStr">
        <is>
          <t>number</t>
        </is>
      </c>
      <c r="E21" s="15" t="inlineStr">
        <is>
          <t>15–120</t>
        </is>
      </c>
      <c r="F21" s="15" t="inlineStr">
        <is>
          <t>No</t>
        </is>
      </c>
      <c r="G21" s="15" t="inlineStr">
        <is>
          <t>Laboratory</t>
        </is>
      </c>
      <c r="H21" s="15" t="inlineStr">
        <is>
          <t>Y</t>
        </is>
      </c>
      <c r="I21" s="15" t="inlineStr">
        <is>
          <t>Y</t>
        </is>
      </c>
      <c r="J21" s="15" t="inlineStr">
        <is>
          <t>Y</t>
        </is>
      </c>
      <c r="K21" s="15" t="inlineStr">
        <is>
          <t>Y</t>
        </is>
      </c>
      <c r="L21" s="15" t="inlineStr">
        <is>
          <t>Y</t>
        </is>
      </c>
      <c r="M21" s="15" t="inlineStr">
        <is>
          <t>hdl, non_hdl</t>
        </is>
      </c>
      <c r="N21" s="15" t="inlineStr">
        <is>
          <t>OMOP measurement, LOINC 2085-8; latest value ≤730 d before index</t>
        </is>
      </c>
    </row>
    <row r="22" ht="23.85" customHeight="1" s="11">
      <c r="A22" s="15" t="inlineStr">
        <is>
          <t>ldl</t>
        </is>
      </c>
      <c r="B22" s="15" t="inlineStr">
        <is>
          <t>LDL Cholesterol</t>
        </is>
      </c>
      <c r="C22" s="15" t="inlineStr">
        <is>
          <t>mg/dL</t>
        </is>
      </c>
      <c r="D22" s="15" t="inlineStr">
        <is>
          <t>number</t>
        </is>
      </c>
      <c r="E22" s="15" t="inlineStr">
        <is>
          <t>20–300</t>
        </is>
      </c>
      <c r="F22" s="15" t="inlineStr">
        <is>
          <t>No</t>
        </is>
      </c>
      <c r="G22" s="15" t="inlineStr">
        <is>
          <t>Laboratory</t>
        </is>
      </c>
      <c r="H22" s="15" t="inlineStr">
        <is>
          <t>Y</t>
        </is>
      </c>
      <c r="I22" s="15" t="inlineStr">
        <is>
          <t>Y</t>
        </is>
      </c>
      <c r="J22" s="15" t="inlineStr">
        <is>
          <t>Y</t>
        </is>
      </c>
      <c r="K22" s="15" t="inlineStr">
        <is>
          <t>Y</t>
        </is>
      </c>
      <c r="L22" s="15" t="inlineStr">
        <is>
          <t>Y</t>
        </is>
      </c>
      <c r="M22" s="15" t="inlineStr">
        <is>
          <t>ldl</t>
        </is>
      </c>
      <c r="N22" s="15" t="inlineStr">
        <is>
          <t>OMOP measurement, LOINC 13457-7, 18262-6, 2089-1; latest value ≤730 d before index</t>
        </is>
      </c>
    </row>
    <row r="23" ht="15" customHeight="1" s="11">
      <c r="A23" s="15" t="inlineStr">
        <is>
          <t>trig</t>
        </is>
      </c>
      <c r="B23" s="15" t="inlineStr">
        <is>
          <t>Triglycerides</t>
        </is>
      </c>
      <c r="C23" s="15" t="inlineStr">
        <is>
          <t>mg/dL</t>
        </is>
      </c>
      <c r="D23" s="15" t="inlineStr">
        <is>
          <t>number</t>
        </is>
      </c>
      <c r="E23" s="15" t="inlineStr">
        <is>
          <t>20–1500</t>
        </is>
      </c>
      <c r="F23" s="15" t="inlineStr">
        <is>
          <t>No</t>
        </is>
      </c>
      <c r="G23" s="15" t="inlineStr">
        <is>
          <t>Laboratory</t>
        </is>
      </c>
      <c r="H23" s="15" t="inlineStr">
        <is>
          <t>Y</t>
        </is>
      </c>
      <c r="I23" s="15" t="inlineStr">
        <is>
          <t>Y</t>
        </is>
      </c>
      <c r="J23" s="15" t="inlineStr">
        <is>
          <t>Y</t>
        </is>
      </c>
      <c r="K23" s="15" t="inlineStr">
        <is>
          <t>Y</t>
        </is>
      </c>
      <c r="L23" s="15" t="inlineStr">
        <is>
          <t>Y</t>
        </is>
      </c>
      <c r="M23" s="15" t="inlineStr">
        <is>
          <t>trig</t>
        </is>
      </c>
      <c r="N23" s="15" t="inlineStr">
        <is>
          <t>OMOP measurement, LOINC 2571-8; latest value ≤730 d before index</t>
        </is>
      </c>
    </row>
    <row r="24" ht="23.85" customHeight="1" s="11">
      <c r="A24" s="15" t="inlineStr">
        <is>
          <t>glucose</t>
        </is>
      </c>
      <c r="B24" s="15" t="inlineStr">
        <is>
          <t>Fasting Glucose</t>
        </is>
      </c>
      <c r="C24" s="15" t="inlineStr">
        <is>
          <t>mg/dL</t>
        </is>
      </c>
      <c r="D24" s="15" t="inlineStr">
        <is>
          <t>number</t>
        </is>
      </c>
      <c r="E24" s="15" t="inlineStr">
        <is>
          <t>40–500</t>
        </is>
      </c>
      <c r="F24" s="15" t="inlineStr">
        <is>
          <t>No</t>
        </is>
      </c>
      <c r="G24" s="15" t="inlineStr">
        <is>
          <t>Laboratory</t>
        </is>
      </c>
      <c r="H24" s="15" t="inlineStr">
        <is>
          <t>Y</t>
        </is>
      </c>
      <c r="I24" s="15" t="inlineStr">
        <is>
          <t>Y</t>
        </is>
      </c>
      <c r="J24" s="15" t="inlineStr">
        <is>
          <t>Y</t>
        </is>
      </c>
      <c r="K24" s="15" t="inlineStr">
        <is>
          <t>Y</t>
        </is>
      </c>
      <c r="L24" s="15" t="inlineStr">
        <is>
          <t>Y</t>
        </is>
      </c>
      <c r="M24" s="15" t="inlineStr">
        <is>
          <t>glucose</t>
        </is>
      </c>
      <c r="N24" s="15" t="inlineStr">
        <is>
          <t>OMOP measurement, LOINC 1558-6, 2345-7; latest value ≤730 d before index</t>
        </is>
      </c>
    </row>
    <row r="25" ht="23.85" customHeight="1" s="11">
      <c r="A25" s="15" t="inlineStr">
        <is>
          <t>hba1c</t>
        </is>
      </c>
      <c r="B25" s="15" t="inlineStr">
        <is>
          <t>HbA1c</t>
        </is>
      </c>
      <c r="C25" s="15" t="inlineStr">
        <is>
          <t>%</t>
        </is>
      </c>
      <c r="D25" s="15" t="inlineStr">
        <is>
          <t>number</t>
        </is>
      </c>
      <c r="E25" s="15" t="inlineStr">
        <is>
          <t>3–18</t>
        </is>
      </c>
      <c r="F25" s="15" t="inlineStr">
        <is>
          <t>No</t>
        </is>
      </c>
      <c r="G25" s="15" t="inlineStr">
        <is>
          <t>Laboratory</t>
        </is>
      </c>
      <c r="H25" s="15" t="inlineStr">
        <is>
          <t>Y</t>
        </is>
      </c>
      <c r="I25" s="15" t="inlineStr">
        <is>
          <t>Y</t>
        </is>
      </c>
      <c r="J25" s="15" t="inlineStr">
        <is>
          <t>Y</t>
        </is>
      </c>
      <c r="K25" s="15" t="inlineStr">
        <is>
          <t>Y</t>
        </is>
      </c>
      <c r="L25" s="15" t="inlineStr">
        <is>
          <t>Y</t>
        </is>
      </c>
      <c r="M25" s="15" t="inlineStr">
        <is>
          <t>hba1c</t>
        </is>
      </c>
      <c r="N25" s="15" t="inlineStr">
        <is>
          <t>OMOP measurement, LOINC 4548-4, 17856-6; latest value ≤730 d before index</t>
        </is>
      </c>
    </row>
    <row r="26" ht="23.85" customHeight="1" s="11">
      <c r="A26" s="15" t="inlineStr">
        <is>
          <t>hscrp</t>
        </is>
      </c>
      <c r="B26" s="15" t="inlineStr">
        <is>
          <t>hs-CRP</t>
        </is>
      </c>
      <c r="C26" s="15" t="inlineStr">
        <is>
          <t>mg/L</t>
        </is>
      </c>
      <c r="D26" s="15" t="inlineStr">
        <is>
          <t>number</t>
        </is>
      </c>
      <c r="E26" s="15" t="inlineStr">
        <is>
          <t>0–50</t>
        </is>
      </c>
      <c r="F26" s="15" t="inlineStr">
        <is>
          <t>No</t>
        </is>
      </c>
      <c r="G26" s="15" t="inlineStr">
        <is>
          <t>Laboratory</t>
        </is>
      </c>
      <c r="H26" s="15" t="inlineStr">
        <is>
          <t>Y</t>
        </is>
      </c>
      <c r="I26" s="15" t="inlineStr">
        <is>
          <t>Y</t>
        </is>
      </c>
      <c r="J26" s="15" t="inlineStr">
        <is>
          <t>Y</t>
        </is>
      </c>
      <c r="K26" s="15" t="inlineStr">
        <is>
          <t>Y</t>
        </is>
      </c>
      <c r="L26" s="15" t="inlineStr">
        <is>
          <t>Y</t>
        </is>
      </c>
      <c r="M26" s="15" t="inlineStr">
        <is>
          <t>hscrp</t>
        </is>
      </c>
      <c r="N26" s="15" t="inlineStr">
        <is>
          <t>OMOP measurement, LOINC 30522-7, 1988-5; latest value ≤730 d before index</t>
        </is>
      </c>
    </row>
    <row r="27" ht="23.85" customHeight="1" s="11">
      <c r="A27" s="15" t="inlineStr">
        <is>
          <t>egfr</t>
        </is>
      </c>
      <c r="B27" s="15" t="inlineStr">
        <is>
          <t>eGFR</t>
        </is>
      </c>
      <c r="C27" s="15" t="inlineStr">
        <is>
          <t>mL/min/1.73m²</t>
        </is>
      </c>
      <c r="D27" s="15" t="inlineStr">
        <is>
          <t>number</t>
        </is>
      </c>
      <c r="E27" s="15" t="inlineStr">
        <is>
          <t>5–150</t>
        </is>
      </c>
      <c r="F27" s="15" t="inlineStr">
        <is>
          <t>No</t>
        </is>
      </c>
      <c r="G27" s="15" t="inlineStr">
        <is>
          <t>Laboratory</t>
        </is>
      </c>
      <c r="H27" s="15" t="inlineStr">
        <is>
          <t>Y</t>
        </is>
      </c>
      <c r="I27" s="15" t="inlineStr">
        <is>
          <t>Y</t>
        </is>
      </c>
      <c r="J27" s="15" t="inlineStr">
        <is>
          <t>Y</t>
        </is>
      </c>
      <c r="K27" s="15" t="inlineStr">
        <is>
          <t>Y</t>
        </is>
      </c>
      <c r="L27" s="15" t="inlineStr">
        <is>
          <t>Y</t>
        </is>
      </c>
      <c r="M27" s="15" t="inlineStr">
        <is>
          <t>egfr</t>
        </is>
      </c>
      <c r="N27" s="15" t="inlineStr">
        <is>
          <t>OMOP measurement, LOINC 33914-3, 62238-1, 98979-8, 48642-3, 48643-1; latest value ≤730 d before index</t>
        </is>
      </c>
    </row>
    <row r="28" ht="23.85" customHeight="1" s="11">
      <c r="A28" s="15" t="inlineStr">
        <is>
          <t>cac_score</t>
        </is>
      </c>
      <c r="B28" s="15" t="inlineStr">
        <is>
          <t>Coronary artery calcium (Agatston)</t>
        </is>
      </c>
      <c r="C28" s="15" t="inlineStr">
        <is>
          <t>AU</t>
        </is>
      </c>
      <c r="D28" s="15" t="inlineStr">
        <is>
          <t>number</t>
        </is>
      </c>
      <c r="E28" s="15" t="inlineStr">
        <is>
          <t>0–5000</t>
        </is>
      </c>
      <c r="F28" s="15" t="inlineStr">
        <is>
          <t>No</t>
        </is>
      </c>
      <c r="G28" s="15" t="inlineStr">
        <is>
          <t>Imaging</t>
        </is>
      </c>
      <c r="H28" s="15" t="inlineStr">
        <is>
          <t>Y</t>
        </is>
      </c>
      <c r="I28" s="15" t="inlineStr">
        <is>
          <t>Y</t>
        </is>
      </c>
      <c r="J28" s="15" t="inlineStr">
        <is>
          <t>Y</t>
        </is>
      </c>
      <c r="K28" s="15" t="inlineStr">
        <is>
          <t>N</t>
        </is>
      </c>
      <c r="L28" s="15" t="inlineStr">
        <is>
          <t>N</t>
        </is>
      </c>
      <c r="M28" s="15" t="inlineStr">
        <is>
          <t>cac_score_log</t>
        </is>
      </c>
      <c r="N28" s="15" t="inlineStr">
        <is>
          <t>NLP of radiology reports (OMOP note = FACT_RADIOLOGY report) ≤730 d before index</t>
        </is>
      </c>
    </row>
    <row r="29" ht="23.85" customHeight="1" s="11">
      <c r="A29" s="15" t="inlineStr">
        <is>
          <t>lvef</t>
        </is>
      </c>
      <c r="B29" s="15" t="inlineStr">
        <is>
          <t>LV ejection fraction</t>
        </is>
      </c>
      <c r="C29" s="15" t="inlineStr">
        <is>
          <t>%</t>
        </is>
      </c>
      <c r="D29" s="15" t="inlineStr">
        <is>
          <t>number</t>
        </is>
      </c>
      <c r="E29" s="15" t="inlineStr">
        <is>
          <t>5–85</t>
        </is>
      </c>
      <c r="F29" s="15" t="inlineStr">
        <is>
          <t>No</t>
        </is>
      </c>
      <c r="G29" s="15" t="inlineStr">
        <is>
          <t>Imaging</t>
        </is>
      </c>
      <c r="H29" s="15" t="inlineStr">
        <is>
          <t>N</t>
        </is>
      </c>
      <c r="I29" s="15" t="inlineStr">
        <is>
          <t>N</t>
        </is>
      </c>
      <c r="J29" s="15" t="inlineStr">
        <is>
          <t>Y</t>
        </is>
      </c>
      <c r="K29" s="15" t="inlineStr">
        <is>
          <t>Y</t>
        </is>
      </c>
      <c r="L29" s="15" t="inlineStr">
        <is>
          <t>Y</t>
        </is>
      </c>
      <c r="M29" s="15" t="inlineStr">
        <is>
          <t>lvef</t>
        </is>
      </c>
      <c r="N29" s="15" t="inlineStr">
        <is>
          <t>NLP of echo notes (FACT_ECHO_TEST.ECHO_NOTE) and imaging reports ≤730 d before index</t>
        </is>
      </c>
    </row>
    <row r="30" ht="15" customHeight="1" s="11">
      <c r="A30" s="15" t="inlineStr">
        <is>
          <t>statin</t>
        </is>
      </c>
      <c r="B30" s="15" t="inlineStr">
        <is>
          <t>Statin</t>
        </is>
      </c>
      <c r="C30" s="15" t="n"/>
      <c r="D30" s="15" t="inlineStr">
        <is>
          <t>bool</t>
        </is>
      </c>
      <c r="E30" s="15" t="inlineStr">
        <is>
          <t>yes / no</t>
        </is>
      </c>
      <c r="F30" s="15" t="inlineStr">
        <is>
          <t>No</t>
        </is>
      </c>
      <c r="G30" s="15" t="inlineStr">
        <is>
          <t>Medications</t>
        </is>
      </c>
      <c r="H30" s="15" t="inlineStr">
        <is>
          <t>Y</t>
        </is>
      </c>
      <c r="I30" s="15" t="inlineStr">
        <is>
          <t>Y</t>
        </is>
      </c>
      <c r="J30" s="15" t="inlineStr">
        <is>
          <t>Y</t>
        </is>
      </c>
      <c r="K30" s="15" t="inlineStr">
        <is>
          <t>Y</t>
        </is>
      </c>
      <c r="L30" s="15" t="inlineStr">
        <is>
          <t>Y</t>
        </is>
      </c>
      <c r="M30" s="15" t="inlineStr">
        <is>
          <t>statin</t>
        </is>
      </c>
      <c r="N30" s="15" t="inlineStr">
        <is>
          <t>OMOP drug_exposure ≤365 d before index; ATC C10AA, C10BA, C10BX</t>
        </is>
      </c>
    </row>
    <row r="31" ht="15" customHeight="1" s="11">
      <c r="A31" s="15" t="inlineStr">
        <is>
          <t>aspirin</t>
        </is>
      </c>
      <c r="B31" s="15" t="inlineStr">
        <is>
          <t>Aspirin</t>
        </is>
      </c>
      <c r="C31" s="15" t="n"/>
      <c r="D31" s="15" t="inlineStr">
        <is>
          <t>bool</t>
        </is>
      </c>
      <c r="E31" s="15" t="inlineStr">
        <is>
          <t>yes / no</t>
        </is>
      </c>
      <c r="F31" s="15" t="inlineStr">
        <is>
          <t>No</t>
        </is>
      </c>
      <c r="G31" s="15" t="inlineStr">
        <is>
          <t>Medications</t>
        </is>
      </c>
      <c r="H31" s="15" t="inlineStr">
        <is>
          <t>Y</t>
        </is>
      </c>
      <c r="I31" s="15" t="inlineStr">
        <is>
          <t>Y</t>
        </is>
      </c>
      <c r="J31" s="15" t="inlineStr">
        <is>
          <t>Y</t>
        </is>
      </c>
      <c r="K31" s="15" t="inlineStr">
        <is>
          <t>Y</t>
        </is>
      </c>
      <c r="L31" s="15" t="inlineStr">
        <is>
          <t>Y</t>
        </is>
      </c>
      <c r="M31" s="15" t="inlineStr">
        <is>
          <t>aspirin</t>
        </is>
      </c>
      <c r="N31" s="15" t="inlineStr">
        <is>
          <t>OMOP drug_exposure ≤365 d before index; ATC B01AC06</t>
        </is>
      </c>
    </row>
    <row r="32" ht="15" customHeight="1" s="11">
      <c r="A32" s="15" t="inlineStr">
        <is>
          <t>acei_arb</t>
        </is>
      </c>
      <c r="B32" s="15" t="inlineStr">
        <is>
          <t>ACE-I/ARB</t>
        </is>
      </c>
      <c r="C32" s="15" t="n"/>
      <c r="D32" s="15" t="inlineStr">
        <is>
          <t>bool</t>
        </is>
      </c>
      <c r="E32" s="15" t="inlineStr">
        <is>
          <t>yes / no</t>
        </is>
      </c>
      <c r="F32" s="15" t="inlineStr">
        <is>
          <t>No</t>
        </is>
      </c>
      <c r="G32" s="15" t="inlineStr">
        <is>
          <t>Medications</t>
        </is>
      </c>
      <c r="H32" s="15" t="inlineStr">
        <is>
          <t>Y</t>
        </is>
      </c>
      <c r="I32" s="15" t="inlineStr">
        <is>
          <t>Y</t>
        </is>
      </c>
      <c r="J32" s="15" t="inlineStr">
        <is>
          <t>Y</t>
        </is>
      </c>
      <c r="K32" s="15" t="inlineStr">
        <is>
          <t>Y</t>
        </is>
      </c>
      <c r="L32" s="15" t="inlineStr">
        <is>
          <t>Y</t>
        </is>
      </c>
      <c r="M32" s="15" t="inlineStr">
        <is>
          <t>acei_arb</t>
        </is>
      </c>
      <c r="N32" s="15" t="inlineStr">
        <is>
          <t>OMOP drug_exposure ≤365 d before index; ATC C09</t>
        </is>
      </c>
    </row>
    <row r="33" ht="15" customHeight="1" s="11">
      <c r="A33" s="15" t="inlineStr">
        <is>
          <t>beta_blocker</t>
        </is>
      </c>
      <c r="B33" s="15" t="inlineStr">
        <is>
          <t>Beta Blocker</t>
        </is>
      </c>
      <c r="C33" s="15" t="n"/>
      <c r="D33" s="15" t="inlineStr">
        <is>
          <t>bool</t>
        </is>
      </c>
      <c r="E33" s="15" t="inlineStr">
        <is>
          <t>yes / no</t>
        </is>
      </c>
      <c r="F33" s="15" t="inlineStr">
        <is>
          <t>No</t>
        </is>
      </c>
      <c r="G33" s="15" t="inlineStr">
        <is>
          <t>Medications</t>
        </is>
      </c>
      <c r="H33" s="15" t="inlineStr">
        <is>
          <t>Y</t>
        </is>
      </c>
      <c r="I33" s="15" t="inlineStr">
        <is>
          <t>Y</t>
        </is>
      </c>
      <c r="J33" s="15" t="inlineStr">
        <is>
          <t>Y</t>
        </is>
      </c>
      <c r="K33" s="15" t="inlineStr">
        <is>
          <t>Y</t>
        </is>
      </c>
      <c r="L33" s="15" t="inlineStr">
        <is>
          <t>Y</t>
        </is>
      </c>
      <c r="M33" s="15" t="inlineStr">
        <is>
          <t>beta_blocker</t>
        </is>
      </c>
      <c r="N33" s="15" t="inlineStr">
        <is>
          <t>OMOP drug_exposure ≤365 d before index; ATC C07</t>
        </is>
      </c>
    </row>
    <row r="34" ht="15" customHeight="1" s="11">
      <c r="A34" s="15" t="inlineStr">
        <is>
          <t>anticoagulant</t>
        </is>
      </c>
      <c r="B34" s="15" t="inlineStr">
        <is>
          <t>Anticoagulant</t>
        </is>
      </c>
      <c r="C34" s="15" t="n"/>
      <c r="D34" s="15" t="inlineStr">
        <is>
          <t>bool</t>
        </is>
      </c>
      <c r="E34" s="15" t="inlineStr">
        <is>
          <t>yes / no</t>
        </is>
      </c>
      <c r="F34" s="15" t="inlineStr">
        <is>
          <t>No</t>
        </is>
      </c>
      <c r="G34" s="15" t="inlineStr">
        <is>
          <t>Medications</t>
        </is>
      </c>
      <c r="H34" s="15" t="inlineStr">
        <is>
          <t>Y</t>
        </is>
      </c>
      <c r="I34" s="15" t="inlineStr">
        <is>
          <t>Y</t>
        </is>
      </c>
      <c r="J34" s="15" t="inlineStr">
        <is>
          <t>Y</t>
        </is>
      </c>
      <c r="K34" s="15" t="inlineStr">
        <is>
          <t>Y</t>
        </is>
      </c>
      <c r="L34" s="15" t="inlineStr">
        <is>
          <t>Y</t>
        </is>
      </c>
      <c r="M34" s="15" t="inlineStr">
        <is>
          <t>anticoagulant</t>
        </is>
      </c>
      <c r="N34" s="15" t="inlineStr">
        <is>
          <t>OMOP drug_exposure ≤365 d before index; ATC B01AA, B01AE, B01AF</t>
        </is>
      </c>
    </row>
    <row r="35" ht="23.85" customHeight="1" s="11">
      <c r="A35" s="15" t="inlineStr">
        <is>
          <t>antihypertensive</t>
        </is>
      </c>
      <c r="B35" s="15" t="inlineStr">
        <is>
          <t>Any antihypertensive</t>
        </is>
      </c>
      <c r="C35" s="15" t="n"/>
      <c r="D35" s="15" t="inlineStr">
        <is>
          <t>bool</t>
        </is>
      </c>
      <c r="E35" s="15" t="inlineStr">
        <is>
          <t>yes / no</t>
        </is>
      </c>
      <c r="F35" s="15" t="inlineStr">
        <is>
          <t>No</t>
        </is>
      </c>
      <c r="G35" s="15" t="inlineStr">
        <is>
          <t>Medications</t>
        </is>
      </c>
      <c r="H35" s="15" t="inlineStr">
        <is>
          <t>Y</t>
        </is>
      </c>
      <c r="I35" s="15" t="inlineStr">
        <is>
          <t>Y</t>
        </is>
      </c>
      <c r="J35" s="15" t="inlineStr">
        <is>
          <t>Y</t>
        </is>
      </c>
      <c r="K35" s="15" t="inlineStr">
        <is>
          <t>Y</t>
        </is>
      </c>
      <c r="L35" s="15" t="inlineStr">
        <is>
          <t>Y</t>
        </is>
      </c>
      <c r="M35" s="15" t="inlineStr">
        <is>
          <t>antihypertensive</t>
        </is>
      </c>
      <c r="N35" s="15" t="inlineStr">
        <is>
          <t>OMOP drug_exposure ≤365 d before index; ATC C02, C03, C07, C08, C09</t>
        </is>
      </c>
    </row>
  </sheetData>
  <autoFilter ref="A2:N35"/>
  <mergeCells count="1">
    <mergeCell ref="A1:N1"/>
  </mergeCells>
  <dataValidations count="1">
    <dataValidation sqref="H3:L35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10" min="1" max="1"/>
    <col width="22" customWidth="1" style="10" min="2" max="2"/>
    <col width="80" customWidth="1" style="10" min="3" max="3"/>
    <col width="12" customWidth="1" style="10" min="4" max="4"/>
    <col width="28" customWidth="1" style="10" min="5" max="5"/>
  </cols>
  <sheetData>
    <row r="1" ht="30" customHeight="1" s="11">
      <c r="A1" s="20" t="inlineStr">
        <is>
          <t>What the Render app returns for each calculation (POST /api/predict).</t>
        </is>
      </c>
    </row>
    <row r="2" ht="15" customHeight="1" s="11">
      <c r="A2" s="14" t="inlineStr">
        <is>
          <t>Calculator</t>
        </is>
      </c>
      <c r="B2" s="14" t="inlineStr">
        <is>
          <t>Output</t>
        </is>
      </c>
      <c r="C2" s="14" t="inlineStr">
        <is>
          <t>Description</t>
        </is>
      </c>
      <c r="D2" s="14" t="inlineStr">
        <is>
          <t>Form</t>
        </is>
      </c>
      <c r="E2" s="14" t="inlineStr">
        <is>
          <t>Produced by</t>
        </is>
      </c>
    </row>
    <row r="3" ht="23.85" customHeight="1" s="11">
      <c r="A3" s="15" t="inlineStr">
        <is>
          <t>AMI</t>
        </is>
      </c>
      <c r="B3" s="15" t="inlineStr">
        <is>
          <t>Primary risk</t>
        </is>
      </c>
      <c r="C3" s="15" t="inlineStr">
        <is>
          <t>5-year probability of acute myocardial infarction (falls back to 1-year / 30-day if no 5-year model)</t>
        </is>
      </c>
      <c r="D3" s="15" t="inlineStr">
        <is>
          <t>0–100 %</t>
        </is>
      </c>
      <c r="E3" s="15" t="inlineStr">
        <is>
          <t>AI model (calibrated gradient boosting)</t>
        </is>
      </c>
    </row>
    <row r="4" ht="23.85" customHeight="1" s="11">
      <c r="A4" s="15" t="inlineStr">
        <is>
          <t>AMI</t>
        </is>
      </c>
      <c r="B4" s="15" t="inlineStr">
        <is>
          <t>Risk category</t>
        </is>
      </c>
      <c r="C4" s="15" t="inlineStr">
        <is>
          <t>Low &lt;5%, Moderate 5–10%, High 10–20%, Very high ≥20% of the 5-year risk (display bands, not treatment thresholds)</t>
        </is>
      </c>
      <c r="D4" s="15" t="inlineStr">
        <is>
          <t>category</t>
        </is>
      </c>
      <c r="E4" s="15" t="inlineStr">
        <is>
          <t>App rule</t>
        </is>
      </c>
    </row>
    <row r="5" ht="23.85" customHeight="1" s="11">
      <c r="A5" s="15" t="inlineStr">
        <is>
          <t>AMI</t>
        </is>
      </c>
      <c r="B5" s="15" t="inlineStr">
        <is>
          <t>Risk by horizon</t>
        </is>
      </c>
      <c r="C5" s="15" t="inlineStr">
        <is>
          <t>Probability for every endpoint × 30 days, 1 year, 5 years; cumulative risk never falls with a longer horizon</t>
        </is>
      </c>
      <c r="D5" s="15" t="inlineStr">
        <is>
          <t>table of %</t>
        </is>
      </c>
      <c r="E5" s="15" t="inlineStr">
        <is>
          <t>AI model</t>
        </is>
      </c>
    </row>
    <row r="6" ht="15" customHeight="1" s="11">
      <c r="A6" s="15" t="inlineStr">
        <is>
          <t>AMI</t>
        </is>
      </c>
      <c r="B6" s="15" t="inlineStr">
        <is>
          <t>Model performance</t>
        </is>
      </c>
      <c r="C6" s="15" t="inlineStr">
        <is>
          <t>Hold-out C-statistic with 95% CI, target, target met (CI lower bound ≥ target), calibration slope</t>
        </is>
      </c>
      <c r="D6" s="15" t="inlineStr">
        <is>
          <t>numbers</t>
        </is>
      </c>
      <c r="E6" s="15" t="inlineStr">
        <is>
          <t>Bundle manifest</t>
        </is>
      </c>
    </row>
    <row r="7" ht="23.85" customHeight="1" s="11">
      <c r="A7" s="15" t="inlineStr">
        <is>
          <t>AMI</t>
        </is>
      </c>
      <c r="B7" s="15" t="inlineStr">
        <is>
          <t>Risk drivers</t>
        </is>
      </c>
      <c r="C7" s="15" t="inlineStr">
        <is>
          <t>Top 8 factors: change in risk when each factor is set to the training cohort's typical value (percentage points)</t>
        </is>
      </c>
      <c r="D7" s="15" t="inlineStr">
        <is>
          <t>list</t>
        </is>
      </c>
      <c r="E7" s="15" t="inlineStr">
        <is>
          <t>AI model</t>
        </is>
      </c>
    </row>
    <row r="8" ht="15" customHeight="1" s="11">
      <c r="A8" s="15" t="inlineStr">
        <is>
          <t>AMI</t>
        </is>
      </c>
      <c r="B8" s="15" t="inlineStr">
        <is>
          <t>Published equations</t>
        </is>
      </c>
      <c r="C8" s="15" t="inlineStr">
        <is>
          <t>Pooled Cohort Equations (2013 ACC/AHA)</t>
        </is>
      </c>
      <c r="D8" s="15" t="inlineStr">
        <is>
          <t>% / score</t>
        </is>
      </c>
      <c r="E8" s="15" t="inlineStr">
        <is>
          <t>Published equations</t>
        </is>
      </c>
    </row>
    <row r="9" ht="23.85" customHeight="1" s="11">
      <c r="A9" s="15" t="inlineStr">
        <is>
          <t>AMI</t>
        </is>
      </c>
      <c r="B9" s="15" t="inlineStr">
        <is>
          <t>Clinical considerations</t>
        </is>
      </c>
      <c r="C9" s="15" t="inlineStr">
        <is>
          <t>Guideline-anchored notes (statin, BP, GDMT, anticoagulation, ICD screen) from published equations and measured values, never from the AI risk</t>
        </is>
      </c>
      <c r="D9" s="15" t="inlineStr">
        <is>
          <t>text</t>
        </is>
      </c>
      <c r="E9" s="15" t="inlineStr">
        <is>
          <t>App rules</t>
        </is>
      </c>
    </row>
    <row r="10" ht="23.85" customHeight="1" s="11">
      <c r="A10" s="15" t="inlineStr">
        <is>
          <t>AMI</t>
        </is>
      </c>
      <c r="B10" s="15" t="inlineStr">
        <is>
          <t>Provenance</t>
        </is>
      </c>
      <c r="C10" s="15" t="inlineStr">
        <is>
          <t>Model bundle id, training data source, number of patients, label governance (adjudicated cases, κ range, release id)</t>
        </is>
      </c>
      <c r="D10" s="15" t="inlineStr">
        <is>
          <t>text</t>
        </is>
      </c>
      <c r="E10" s="15" t="inlineStr">
        <is>
          <t>Bundle manifest</t>
        </is>
      </c>
    </row>
    <row r="11" ht="23.85" customHeight="1" s="11">
      <c r="A11" s="15" t="inlineStr">
        <is>
          <t>Stroke</t>
        </is>
      </c>
      <c r="B11" s="15" t="inlineStr">
        <is>
          <t>Primary risk</t>
        </is>
      </c>
      <c r="C11" s="15" t="inlineStr">
        <is>
          <t>5-year probability of any stroke or tia (falls back to 1-year / 30-day if no 5-year model)</t>
        </is>
      </c>
      <c r="D11" s="15" t="inlineStr">
        <is>
          <t>0–100 %</t>
        </is>
      </c>
      <c r="E11" s="15" t="inlineStr">
        <is>
          <t>AI model (calibrated gradient boosting)</t>
        </is>
      </c>
    </row>
    <row r="12" ht="23.85" customHeight="1" s="11">
      <c r="A12" s="15" t="inlineStr">
        <is>
          <t>Stroke</t>
        </is>
      </c>
      <c r="B12" s="15" t="inlineStr">
        <is>
          <t>Risk category</t>
        </is>
      </c>
      <c r="C12" s="15" t="inlineStr">
        <is>
          <t>Low &lt;5%, Moderate 5–10%, High 10–20%, Very high ≥20% of the 5-year risk (display bands, not treatment thresholds)</t>
        </is>
      </c>
      <c r="D12" s="15" t="inlineStr">
        <is>
          <t>category</t>
        </is>
      </c>
      <c r="E12" s="15" t="inlineStr">
        <is>
          <t>App rule</t>
        </is>
      </c>
    </row>
    <row r="13" ht="23.85" customHeight="1" s="11">
      <c r="A13" s="15" t="inlineStr">
        <is>
          <t>Stroke</t>
        </is>
      </c>
      <c r="B13" s="15" t="inlineStr">
        <is>
          <t>Risk by horizon</t>
        </is>
      </c>
      <c r="C13" s="15" t="inlineStr">
        <is>
          <t>Probability for every endpoint × 30 days, 1 year, 5 years; cumulative risk never falls with a longer horizon</t>
        </is>
      </c>
      <c r="D13" s="15" t="inlineStr">
        <is>
          <t>table of %</t>
        </is>
      </c>
      <c r="E13" s="15" t="inlineStr">
        <is>
          <t>AI model</t>
        </is>
      </c>
    </row>
    <row r="14" ht="15" customHeight="1" s="11">
      <c r="A14" s="15" t="inlineStr">
        <is>
          <t>Stroke</t>
        </is>
      </c>
      <c r="B14" s="15" t="inlineStr">
        <is>
          <t>Model performance</t>
        </is>
      </c>
      <c r="C14" s="15" t="inlineStr">
        <is>
          <t>Hold-out C-statistic with 95% CI, target, target met (CI lower bound ≥ target), calibration slope</t>
        </is>
      </c>
      <c r="D14" s="15" t="inlineStr">
        <is>
          <t>numbers</t>
        </is>
      </c>
      <c r="E14" s="15" t="inlineStr">
        <is>
          <t>Bundle manifest</t>
        </is>
      </c>
    </row>
    <row r="15" ht="23.85" customHeight="1" s="11">
      <c r="A15" s="15" t="inlineStr">
        <is>
          <t>Stroke</t>
        </is>
      </c>
      <c r="B15" s="15" t="inlineStr">
        <is>
          <t>Risk drivers</t>
        </is>
      </c>
      <c r="C15" s="15" t="inlineStr">
        <is>
          <t>Top 8 factors: change in risk when each factor is set to the training cohort's typical value (percentage points)</t>
        </is>
      </c>
      <c r="D15" s="15" t="inlineStr">
        <is>
          <t>list</t>
        </is>
      </c>
      <c r="E15" s="15" t="inlineStr">
        <is>
          <t>AI model</t>
        </is>
      </c>
    </row>
    <row r="16" ht="15" customHeight="1" s="11">
      <c r="A16" s="15" t="inlineStr">
        <is>
          <t>Stroke</t>
        </is>
      </c>
      <c r="B16" s="15" t="inlineStr">
        <is>
          <t>Published equations</t>
        </is>
      </c>
      <c r="C16" s="15" t="inlineStr">
        <is>
          <t>CHA₂DS₂-VASc, Pooled Cohort Equations (2013 ACC/AHA)</t>
        </is>
      </c>
      <c r="D16" s="15" t="inlineStr">
        <is>
          <t>% / score</t>
        </is>
      </c>
      <c r="E16" s="15" t="inlineStr">
        <is>
          <t>Published equations</t>
        </is>
      </c>
    </row>
    <row r="17" ht="23.85" customHeight="1" s="11">
      <c r="A17" s="15" t="inlineStr">
        <is>
          <t>Stroke</t>
        </is>
      </c>
      <c r="B17" s="15" t="inlineStr">
        <is>
          <t>Clinical considerations</t>
        </is>
      </c>
      <c r="C17" s="15" t="inlineStr">
        <is>
          <t>Guideline-anchored notes (statin, BP, GDMT, anticoagulation, ICD screen) from published equations and measured values, never from the AI risk</t>
        </is>
      </c>
      <c r="D17" s="15" t="inlineStr">
        <is>
          <t>text</t>
        </is>
      </c>
      <c r="E17" s="15" t="inlineStr">
        <is>
          <t>App rules</t>
        </is>
      </c>
    </row>
    <row r="18" ht="23.85" customHeight="1" s="11">
      <c r="A18" s="15" t="inlineStr">
        <is>
          <t>Stroke</t>
        </is>
      </c>
      <c r="B18" s="15" t="inlineStr">
        <is>
          <t>Provenance</t>
        </is>
      </c>
      <c r="C18" s="15" t="inlineStr">
        <is>
          <t>Model bundle id, training data source, number of patients, label governance (adjudicated cases, κ range, release id)</t>
        </is>
      </c>
      <c r="D18" s="15" t="inlineStr">
        <is>
          <t>text</t>
        </is>
      </c>
      <c r="E18" s="15" t="inlineStr">
        <is>
          <t>Bundle manifest</t>
        </is>
      </c>
    </row>
    <row r="19" ht="23.85" customHeight="1" s="11">
      <c r="A19" s="15" t="inlineStr">
        <is>
          <t>Heart failure</t>
        </is>
      </c>
      <c r="B19" s="15" t="inlineStr">
        <is>
          <t>Primary risk</t>
        </is>
      </c>
      <c r="C19" s="15" t="inlineStr">
        <is>
          <t>5-year probability of heart failure hospitalization / diagnosis (falls back to 1-year / 30-day if no 5-year model)</t>
        </is>
      </c>
      <c r="D19" s="15" t="inlineStr">
        <is>
          <t>0–100 %</t>
        </is>
      </c>
      <c r="E19" s="15" t="inlineStr">
        <is>
          <t>AI model (calibrated gradient boosting)</t>
        </is>
      </c>
    </row>
    <row r="20" ht="23.85" customHeight="1" s="11">
      <c r="A20" s="15" t="inlineStr">
        <is>
          <t>Heart failure</t>
        </is>
      </c>
      <c r="B20" s="15" t="inlineStr">
        <is>
          <t>Risk category</t>
        </is>
      </c>
      <c r="C20" s="15" t="inlineStr">
        <is>
          <t>Low &lt;5%, Moderate 5–10%, High 10–20%, Very high ≥20% of the 5-year risk (display bands, not treatment thresholds)</t>
        </is>
      </c>
      <c r="D20" s="15" t="inlineStr">
        <is>
          <t>category</t>
        </is>
      </c>
      <c r="E20" s="15" t="inlineStr">
        <is>
          <t>App rule</t>
        </is>
      </c>
    </row>
    <row r="21" ht="23.85" customHeight="1" s="11">
      <c r="A21" s="15" t="inlineStr">
        <is>
          <t>Heart failure</t>
        </is>
      </c>
      <c r="B21" s="15" t="inlineStr">
        <is>
          <t>Risk by horizon</t>
        </is>
      </c>
      <c r="C21" s="15" t="inlineStr">
        <is>
          <t>Probability for every endpoint × 30 days, 1 year, 5 years; cumulative risk never falls with a longer horizon</t>
        </is>
      </c>
      <c r="D21" s="15" t="inlineStr">
        <is>
          <t>table of %</t>
        </is>
      </c>
      <c r="E21" s="15" t="inlineStr">
        <is>
          <t>AI model</t>
        </is>
      </c>
    </row>
    <row r="22" ht="15" customHeight="1" s="11">
      <c r="A22" s="15" t="inlineStr">
        <is>
          <t>Heart failure</t>
        </is>
      </c>
      <c r="B22" s="15" t="inlineStr">
        <is>
          <t>Model performance</t>
        </is>
      </c>
      <c r="C22" s="15" t="inlineStr">
        <is>
          <t>Hold-out C-statistic with 95% CI, target, target met (CI lower bound ≥ target), calibration slope</t>
        </is>
      </c>
      <c r="D22" s="15" t="inlineStr">
        <is>
          <t>numbers</t>
        </is>
      </c>
      <c r="E22" s="15" t="inlineStr">
        <is>
          <t>Bundle manifest</t>
        </is>
      </c>
    </row>
    <row r="23" ht="23.85" customHeight="1" s="11">
      <c r="A23" s="15" t="inlineStr">
        <is>
          <t>Heart failure</t>
        </is>
      </c>
      <c r="B23" s="15" t="inlineStr">
        <is>
          <t>Risk drivers</t>
        </is>
      </c>
      <c r="C23" s="15" t="inlineStr">
        <is>
          <t>Top 8 factors: change in risk when each factor is set to the training cohort's typical value (percentage points)</t>
        </is>
      </c>
      <c r="D23" s="15" t="inlineStr">
        <is>
          <t>list</t>
        </is>
      </c>
      <c r="E23" s="15" t="inlineStr">
        <is>
          <t>AI model</t>
        </is>
      </c>
    </row>
    <row r="24" ht="15" customHeight="1" s="11">
      <c r="A24" s="15" t="inlineStr">
        <is>
          <t>Heart failure</t>
        </is>
      </c>
      <c r="B24" s="15" t="inlineStr">
        <is>
          <t>Published equations</t>
        </is>
      </c>
      <c r="C24" s="15" t="inlineStr">
        <is>
          <t>None for this calculator</t>
        </is>
      </c>
      <c r="D24" s="15" t="inlineStr">
        <is>
          <t>% / score</t>
        </is>
      </c>
      <c r="E24" s="15" t="inlineStr">
        <is>
          <t>Published equations</t>
        </is>
      </c>
    </row>
    <row r="25" ht="23.85" customHeight="1" s="11">
      <c r="A25" s="15" t="inlineStr">
        <is>
          <t>Heart failure</t>
        </is>
      </c>
      <c r="B25" s="15" t="inlineStr">
        <is>
          <t>Clinical considerations</t>
        </is>
      </c>
      <c r="C25" s="15" t="inlineStr">
        <is>
          <t>Guideline-anchored notes (statin, BP, GDMT, anticoagulation, ICD screen) from published equations and measured values, never from the AI risk</t>
        </is>
      </c>
      <c r="D25" s="15" t="inlineStr">
        <is>
          <t>text</t>
        </is>
      </c>
      <c r="E25" s="15" t="inlineStr">
        <is>
          <t>App rules</t>
        </is>
      </c>
    </row>
    <row r="26" ht="23.85" customHeight="1" s="11">
      <c r="A26" s="15" t="inlineStr">
        <is>
          <t>Heart failure</t>
        </is>
      </c>
      <c r="B26" s="15" t="inlineStr">
        <is>
          <t>Provenance</t>
        </is>
      </c>
      <c r="C26" s="15" t="inlineStr">
        <is>
          <t>Model bundle id, training data source, number of patients, label governance (adjudicated cases, κ range, release id)</t>
        </is>
      </c>
      <c r="D26" s="15" t="inlineStr">
        <is>
          <t>text</t>
        </is>
      </c>
      <c r="E26" s="15" t="inlineStr">
        <is>
          <t>Bundle manifest</t>
        </is>
      </c>
    </row>
    <row r="27" ht="23.85" customHeight="1" s="11">
      <c r="A27" s="15" t="inlineStr">
        <is>
          <t>SCD</t>
        </is>
      </c>
      <c r="B27" s="15" t="inlineStr">
        <is>
          <t>Primary risk</t>
        </is>
      </c>
      <c r="C27" s="15" t="inlineStr">
        <is>
          <t>5-year probability of cardiac arrest / vf / sustained vt (falls back to 1-year / 30-day if no 5-year model)</t>
        </is>
      </c>
      <c r="D27" s="15" t="inlineStr">
        <is>
          <t>0–100 %</t>
        </is>
      </c>
      <c r="E27" s="15" t="inlineStr">
        <is>
          <t>AI model (calibrated gradient boosting)</t>
        </is>
      </c>
    </row>
    <row r="28" ht="23.85" customHeight="1" s="11">
      <c r="A28" s="15" t="inlineStr">
        <is>
          <t>SCD</t>
        </is>
      </c>
      <c r="B28" s="15" t="inlineStr">
        <is>
          <t>Risk category</t>
        </is>
      </c>
      <c r="C28" s="15" t="inlineStr">
        <is>
          <t>Low &lt;5%, Moderate 5–10%, High 10–20%, Very high ≥20% of the 5-year risk (display bands, not treatment thresholds)</t>
        </is>
      </c>
      <c r="D28" s="15" t="inlineStr">
        <is>
          <t>category</t>
        </is>
      </c>
      <c r="E28" s="15" t="inlineStr">
        <is>
          <t>App rule</t>
        </is>
      </c>
    </row>
    <row r="29" ht="23.85" customHeight="1" s="11">
      <c r="A29" s="15" t="inlineStr">
        <is>
          <t>SCD</t>
        </is>
      </c>
      <c r="B29" s="15" t="inlineStr">
        <is>
          <t>Risk by horizon</t>
        </is>
      </c>
      <c r="C29" s="15" t="inlineStr">
        <is>
          <t>Probability for every endpoint × 30 days, 1 year, 5 years; cumulative risk never falls with a longer horizon</t>
        </is>
      </c>
      <c r="D29" s="15" t="inlineStr">
        <is>
          <t>table of %</t>
        </is>
      </c>
      <c r="E29" s="15" t="inlineStr">
        <is>
          <t>AI model</t>
        </is>
      </c>
    </row>
    <row r="30" ht="15" customHeight="1" s="11">
      <c r="A30" s="15" t="inlineStr">
        <is>
          <t>SCD</t>
        </is>
      </c>
      <c r="B30" s="15" t="inlineStr">
        <is>
          <t>Model performance</t>
        </is>
      </c>
      <c r="C30" s="15" t="inlineStr">
        <is>
          <t>Hold-out C-statistic with 95% CI, target, target met (CI lower bound ≥ target), calibration slope</t>
        </is>
      </c>
      <c r="D30" s="15" t="inlineStr">
        <is>
          <t>numbers</t>
        </is>
      </c>
      <c r="E30" s="15" t="inlineStr">
        <is>
          <t>Bundle manifest</t>
        </is>
      </c>
    </row>
    <row r="31" ht="23.85" customHeight="1" s="11">
      <c r="A31" s="15" t="inlineStr">
        <is>
          <t>SCD</t>
        </is>
      </c>
      <c r="B31" s="15" t="inlineStr">
        <is>
          <t>Risk drivers</t>
        </is>
      </c>
      <c r="C31" s="15" t="inlineStr">
        <is>
          <t>Top 8 factors: change in risk when each factor is set to the training cohort's typical value (percentage points)</t>
        </is>
      </c>
      <c r="D31" s="15" t="inlineStr">
        <is>
          <t>list</t>
        </is>
      </c>
      <c r="E31" s="15" t="inlineStr">
        <is>
          <t>AI model</t>
        </is>
      </c>
    </row>
    <row r="32" ht="15" customHeight="1" s="11">
      <c r="A32" s="15" t="inlineStr">
        <is>
          <t>SCD</t>
        </is>
      </c>
      <c r="B32" s="15" t="inlineStr">
        <is>
          <t>Published equations</t>
        </is>
      </c>
      <c r="C32" s="15" t="inlineStr">
        <is>
          <t>ACC/AHA/HRS primary-prevention ICD criteria (screen)</t>
        </is>
      </c>
      <c r="D32" s="15" t="inlineStr">
        <is>
          <t>% / score</t>
        </is>
      </c>
      <c r="E32" s="15" t="inlineStr">
        <is>
          <t>Published equations</t>
        </is>
      </c>
    </row>
    <row r="33" ht="23.85" customHeight="1" s="11">
      <c r="A33" s="15" t="inlineStr">
        <is>
          <t>SCD</t>
        </is>
      </c>
      <c r="B33" s="15" t="inlineStr">
        <is>
          <t>Clinical considerations</t>
        </is>
      </c>
      <c r="C33" s="15" t="inlineStr">
        <is>
          <t>Guideline-anchored notes (statin, BP, GDMT, anticoagulation, ICD screen) from published equations and measured values, never from the AI risk</t>
        </is>
      </c>
      <c r="D33" s="15" t="inlineStr">
        <is>
          <t>text</t>
        </is>
      </c>
      <c r="E33" s="15" t="inlineStr">
        <is>
          <t>App rules</t>
        </is>
      </c>
    </row>
    <row r="34" ht="23.85" customHeight="1" s="11">
      <c r="A34" s="15" t="inlineStr">
        <is>
          <t>SCD</t>
        </is>
      </c>
      <c r="B34" s="15" t="inlineStr">
        <is>
          <t>Provenance</t>
        </is>
      </c>
      <c r="C34" s="15" t="inlineStr">
        <is>
          <t>Model bundle id, training data source, number of patients, label governance (adjudicated cases, κ range, release id)</t>
        </is>
      </c>
      <c r="D34" s="15" t="inlineStr">
        <is>
          <t>text</t>
        </is>
      </c>
      <c r="E34" s="15" t="inlineStr">
        <is>
          <t>Bundle manifest</t>
        </is>
      </c>
    </row>
    <row r="35" ht="23.85" customHeight="1" s="11">
      <c r="A35" s="15" t="inlineStr">
        <is>
          <t>AF</t>
        </is>
      </c>
      <c r="B35" s="15" t="inlineStr">
        <is>
          <t>Primary risk</t>
        </is>
      </c>
      <c r="C35" s="15" t="inlineStr">
        <is>
          <t>5-year probability of new-onset atrial fibrillation / flutter (falls back to 1-year / 30-day if no 5-year model)</t>
        </is>
      </c>
      <c r="D35" s="15" t="inlineStr">
        <is>
          <t>0–100 %</t>
        </is>
      </c>
      <c r="E35" s="15" t="inlineStr">
        <is>
          <t>AI model (calibrated gradient boosting)</t>
        </is>
      </c>
    </row>
    <row r="36" ht="23.85" customHeight="1" s="11">
      <c r="A36" s="15" t="inlineStr">
        <is>
          <t>AF</t>
        </is>
      </c>
      <c r="B36" s="15" t="inlineStr">
        <is>
          <t>Risk category</t>
        </is>
      </c>
      <c r="C36" s="15" t="inlineStr">
        <is>
          <t>Low &lt;5%, Moderate 5–10%, High 10–20%, Very high ≥20% of the 5-year risk (display bands, not treatment thresholds)</t>
        </is>
      </c>
      <c r="D36" s="15" t="inlineStr">
        <is>
          <t>category</t>
        </is>
      </c>
      <c r="E36" s="15" t="inlineStr">
        <is>
          <t>App rule</t>
        </is>
      </c>
    </row>
    <row r="37" ht="23.85" customHeight="1" s="11">
      <c r="A37" s="15" t="inlineStr">
        <is>
          <t>AF</t>
        </is>
      </c>
      <c r="B37" s="15" t="inlineStr">
        <is>
          <t>Risk by horizon</t>
        </is>
      </c>
      <c r="C37" s="15" t="inlineStr">
        <is>
          <t>Probability for every endpoint × 30 days, 1 year, 5 years; cumulative risk never falls with a longer horizon</t>
        </is>
      </c>
      <c r="D37" s="15" t="inlineStr">
        <is>
          <t>table of %</t>
        </is>
      </c>
      <c r="E37" s="15" t="inlineStr">
        <is>
          <t>AI model</t>
        </is>
      </c>
    </row>
    <row r="38" ht="15" customHeight="1" s="11">
      <c r="A38" s="15" t="inlineStr">
        <is>
          <t>AF</t>
        </is>
      </c>
      <c r="B38" s="15" t="inlineStr">
        <is>
          <t>Model performance</t>
        </is>
      </c>
      <c r="C38" s="15" t="inlineStr">
        <is>
          <t>Hold-out C-statistic with 95% CI, target, target met (CI lower bound ≥ target), calibration slope</t>
        </is>
      </c>
      <c r="D38" s="15" t="inlineStr">
        <is>
          <t>numbers</t>
        </is>
      </c>
      <c r="E38" s="15" t="inlineStr">
        <is>
          <t>Bundle manifest</t>
        </is>
      </c>
    </row>
    <row r="39" ht="23.85" customHeight="1" s="11">
      <c r="A39" s="15" t="inlineStr">
        <is>
          <t>AF</t>
        </is>
      </c>
      <c r="B39" s="15" t="inlineStr">
        <is>
          <t>Risk drivers</t>
        </is>
      </c>
      <c r="C39" s="15" t="inlineStr">
        <is>
          <t>Top 8 factors: change in risk when each factor is set to the training cohort's typical value (percentage points)</t>
        </is>
      </c>
      <c r="D39" s="15" t="inlineStr">
        <is>
          <t>list</t>
        </is>
      </c>
      <c r="E39" s="15" t="inlineStr">
        <is>
          <t>AI model</t>
        </is>
      </c>
    </row>
    <row r="40" ht="15" customHeight="1" s="11">
      <c r="A40" s="15" t="inlineStr">
        <is>
          <t>AF</t>
        </is>
      </c>
      <c r="B40" s="15" t="inlineStr">
        <is>
          <t>Published equations</t>
        </is>
      </c>
      <c r="C40" s="15" t="inlineStr">
        <is>
          <t>CHARGE-AF (simple model)</t>
        </is>
      </c>
      <c r="D40" s="15" t="inlineStr">
        <is>
          <t>% / score</t>
        </is>
      </c>
      <c r="E40" s="15" t="inlineStr">
        <is>
          <t>Published equations</t>
        </is>
      </c>
    </row>
    <row r="41" ht="23.85" customHeight="1" s="11">
      <c r="A41" s="15" t="inlineStr">
        <is>
          <t>AF</t>
        </is>
      </c>
      <c r="B41" s="15" t="inlineStr">
        <is>
          <t>Clinical considerations</t>
        </is>
      </c>
      <c r="C41" s="15" t="inlineStr">
        <is>
          <t>Guideline-anchored notes (statin, BP, GDMT, anticoagulation, ICD screen) from published equations and measured values, never from the AI risk</t>
        </is>
      </c>
      <c r="D41" s="15" t="inlineStr">
        <is>
          <t>text</t>
        </is>
      </c>
      <c r="E41" s="15" t="inlineStr">
        <is>
          <t>App rules</t>
        </is>
      </c>
    </row>
    <row r="42" ht="23.85" customHeight="1" s="11">
      <c r="A42" s="15" t="inlineStr">
        <is>
          <t>AF</t>
        </is>
      </c>
      <c r="B42" s="15" t="inlineStr">
        <is>
          <t>Provenance</t>
        </is>
      </c>
      <c r="C42" s="15" t="inlineStr">
        <is>
          <t>Model bundle id, training data source, number of patients, label governance (adjudicated cases, κ range, release id)</t>
        </is>
      </c>
      <c r="D42" s="15" t="inlineStr">
        <is>
          <t>text</t>
        </is>
      </c>
      <c r="E42" s="15" t="inlineStr">
        <is>
          <t>Bundle manifest</t>
        </is>
      </c>
    </row>
    <row r="43" ht="23.85" customHeight="1" s="11">
      <c r="A43" s="15" t="inlineStr">
        <is>
          <t>AF</t>
        </is>
      </c>
      <c r="B43" s="15" t="inlineStr">
        <is>
          <t>Not applicable</t>
        </is>
      </c>
      <c r="C43" s="15" t="inlineStr">
        <is>
          <t>Patient already has atrial fibrillation. The new-onset AF model does not apply; recurrence prediction needs rhythm-monitoring data that this form does not collect.</t>
        </is>
      </c>
      <c r="D43" s="15" t="inlineStr">
        <is>
          <t>text</t>
        </is>
      </c>
      <c r="E43" s="15" t="inlineStr">
        <is>
          <t>App rule</t>
        </is>
      </c>
    </row>
  </sheetData>
  <autoFilter ref="A2:E43"/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" min="1" max="1"/>
    <col width="22" customWidth="1" style="10" min="2" max="2"/>
    <col width="62" customWidth="1" style="10" min="3" max="3"/>
    <col width="14" customWidth="1" style="10" min="4" max="5"/>
    <col width="30" customWidth="1" style="10" min="6" max="6"/>
  </cols>
  <sheetData>
    <row r="1" ht="30" customHeight="1" s="11">
      <c r="A1" s="20" t="inlineStr">
        <is>
          <t>Score = bias + Σ weights of votes → probability. ≥80% auto-confirmed, ≤20% auto-rejected, otherwise uncertain (sent to cardiologists). Expert-set starting weights (label model expert-v1); refit from adjudication with refit-label-model.</t>
        </is>
      </c>
    </row>
    <row r="2" ht="35.05" customHeight="1" s="11">
      <c r="A2" s="14" t="inlineStr">
        <is>
          <t>Outcome family</t>
        </is>
      </c>
      <c r="B2" s="14" t="inlineStr">
        <is>
          <t>Labelling function</t>
        </is>
      </c>
      <c r="C2" s="14" t="inlineStr">
        <is>
          <t>Evidence it checks</t>
        </is>
      </c>
      <c r="D2" s="14" t="inlineStr">
        <is>
          <t>Weight when it supports (+)</t>
        </is>
      </c>
      <c r="E2" s="14" t="inlineStr">
        <is>
          <t>Weight when it opposes (−)</t>
        </is>
      </c>
      <c r="F2" s="14" t="inlineStr">
        <is>
          <t>Notes</t>
        </is>
      </c>
    </row>
    <row r="3" ht="15" customHeight="1" s="11">
      <c r="A3" s="15" t="inlineStr">
        <is>
          <t>ami</t>
        </is>
      </c>
      <c r="B3" s="15" t="inlineStr">
        <is>
          <t>(bias)</t>
        </is>
      </c>
      <c r="C3" s="15" t="inlineStr">
        <is>
          <t>Starting log-odds before any evidence</t>
        </is>
      </c>
      <c r="D3" s="21" t="n">
        <v>-1</v>
      </c>
      <c r="E3" s="21" t="n"/>
      <c r="F3" s="15" t="n"/>
    </row>
    <row r="4" ht="15" customHeight="1" s="11">
      <c r="A4" s="15" t="inlineStr">
        <is>
          <t>ami</t>
        </is>
      </c>
      <c r="B4" s="15" t="inlineStr">
        <is>
          <t>acute_visit</t>
        </is>
      </c>
      <c r="C4" s="15" t="inlineStr">
        <is>
          <t>Code recorded in an inpatient/ED visit (+) vs outpatient only (−)</t>
        </is>
      </c>
      <c r="D4" s="21" t="n">
        <v>1</v>
      </c>
      <c r="E4" s="21" t="n">
        <v>1.5</v>
      </c>
      <c r="F4" s="15" t="n"/>
    </row>
    <row r="5" ht="15" customHeight="1" s="11">
      <c r="A5" s="15" t="inlineStr">
        <is>
          <t>ami</t>
        </is>
      </c>
      <c r="B5" s="15" t="inlineStr">
        <is>
          <t>primary_dx</t>
        </is>
      </c>
      <c r="C5" s="15" t="inlineStr">
        <is>
          <t>Coded as primary/principal diagnosis</t>
        </is>
      </c>
      <c r="D5" s="21" t="n">
        <v>0.8</v>
      </c>
      <c r="E5" s="21" t="n">
        <v>0</v>
      </c>
      <c r="F5" s="15" t="n"/>
    </row>
    <row r="6" ht="15" customHeight="1" s="11">
      <c r="A6" s="15" t="inlineStr">
        <is>
          <t>ami</t>
        </is>
      </c>
      <c r="B6" s="15" t="inlineStr">
        <is>
          <t>no_dx_code</t>
        </is>
      </c>
      <c r="C6" s="15" t="inlineStr">
        <is>
          <t>Evidence-only candidate (no outcome diagnosis code)</t>
        </is>
      </c>
      <c r="D6" s="21" t="n">
        <v>0</v>
      </c>
      <c r="E6" s="21" t="n">
        <v>0.5</v>
      </c>
      <c r="F6" s="15" t="n"/>
    </row>
    <row r="7" ht="15" customHeight="1" s="11">
      <c r="A7" s="15" t="inlineStr">
        <is>
          <t>ami</t>
        </is>
      </c>
      <c r="B7" s="15" t="inlineStr">
        <is>
          <t>trop_rise_fall</t>
        </is>
      </c>
      <c r="C7" s="15" t="inlineStr">
        <is>
          <t>Troponin &gt;99th-pct URL with rise/fall ≥20%</t>
        </is>
      </c>
      <c r="D7" s="21" t="n">
        <v>2.5</v>
      </c>
      <c r="E7" s="21" t="n">
        <v>0</v>
      </c>
      <c r="F7" s="15" t="n"/>
    </row>
    <row r="8" ht="15" customHeight="1" s="11">
      <c r="A8" s="15" t="inlineStr">
        <is>
          <t>ami</t>
        </is>
      </c>
      <c r="B8" s="15" t="inlineStr">
        <is>
          <t>trop_elevated_flat</t>
        </is>
      </c>
      <c r="C8" s="15" t="inlineStr">
        <is>
          <t>Troponin elevated without documented rise/fall</t>
        </is>
      </c>
      <c r="D8" s="21" t="n">
        <v>0.5</v>
      </c>
      <c r="E8" s="21" t="n">
        <v>0</v>
      </c>
      <c r="F8" s="15" t="n"/>
    </row>
    <row r="9" ht="15" customHeight="1" s="11">
      <c r="A9" s="15" t="inlineStr">
        <is>
          <t>ami</t>
        </is>
      </c>
      <c r="B9" s="15" t="inlineStr">
        <is>
          <t>trop_normal</t>
        </is>
      </c>
      <c r="C9" s="15" t="inlineStr">
        <is>
          <t>Troponin measured and all values ≤ URL</t>
        </is>
      </c>
      <c r="D9" s="21" t="n">
        <v>0</v>
      </c>
      <c r="E9" s="21" t="n">
        <v>3</v>
      </c>
      <c r="F9" s="15" t="n"/>
    </row>
    <row r="10" ht="15" customHeight="1" s="11">
      <c r="A10" s="15" t="inlineStr">
        <is>
          <t>ami</t>
        </is>
      </c>
      <c r="B10" s="15" t="inlineStr">
        <is>
          <t>coronary_procedure</t>
        </is>
      </c>
      <c r="C10" s="15" t="inlineStr">
        <is>
          <t>Coronary angiography or PCI in window</t>
        </is>
      </c>
      <c r="D10" s="21" t="n">
        <v>1</v>
      </c>
      <c r="E10" s="21" t="n">
        <v>0</v>
      </c>
      <c r="F10" s="15" t="n"/>
    </row>
    <row r="11" ht="15" customHeight="1" s="11">
      <c r="A11" s="15" t="inlineStr">
        <is>
          <t>ami</t>
        </is>
      </c>
      <c r="B11" s="15" t="inlineStr">
        <is>
          <t>note_mi</t>
        </is>
      </c>
      <c r="C11" s="15" t="inlineStr">
        <is>
          <t>MI affirmed (+) / negated (−) in notes</t>
        </is>
      </c>
      <c r="D11" s="21" t="n">
        <v>1.5</v>
      </c>
      <c r="E11" s="21" t="n">
        <v>2</v>
      </c>
      <c r="F11" s="15" t="n"/>
    </row>
    <row r="12" ht="15" customHeight="1" s="11">
      <c r="A12" s="15" t="inlineStr">
        <is>
          <t>ami</t>
        </is>
      </c>
      <c r="B12" s="15" t="inlineStr">
        <is>
          <t>note_mi_historical</t>
        </is>
      </c>
      <c r="C12" s="15" t="inlineStr">
        <is>
          <t>MI mentioned only as history</t>
        </is>
      </c>
      <c r="D12" s="21" t="n">
        <v>0</v>
      </c>
      <c r="E12" s="21" t="n">
        <v>1.5</v>
      </c>
      <c r="F12" s="15" t="n"/>
    </row>
    <row r="13" ht="15" customHeight="1" s="11">
      <c r="A13" s="15" t="inlineStr">
        <is>
          <t>stroke</t>
        </is>
      </c>
      <c r="B13" s="15" t="inlineStr">
        <is>
          <t>(bias)</t>
        </is>
      </c>
      <c r="C13" s="15" t="inlineStr">
        <is>
          <t>Starting log-odds before any evidence</t>
        </is>
      </c>
      <c r="D13" s="21" t="n">
        <v>-1</v>
      </c>
      <c r="E13" s="21" t="n"/>
      <c r="F13" s="15" t="n"/>
    </row>
    <row r="14" ht="15" customHeight="1" s="11">
      <c r="A14" s="15" t="inlineStr">
        <is>
          <t>stroke</t>
        </is>
      </c>
      <c r="B14" s="15" t="inlineStr">
        <is>
          <t>acute_visit</t>
        </is>
      </c>
      <c r="C14" s="15" t="inlineStr">
        <is>
          <t>Code recorded in an inpatient/ED visit (+) vs outpatient only (−)</t>
        </is>
      </c>
      <c r="D14" s="21" t="n">
        <v>1</v>
      </c>
      <c r="E14" s="21" t="n">
        <v>1.5</v>
      </c>
      <c r="F14" s="15" t="n"/>
    </row>
    <row r="15" ht="15" customHeight="1" s="11">
      <c r="A15" s="15" t="inlineStr">
        <is>
          <t>stroke</t>
        </is>
      </c>
      <c r="B15" s="15" t="inlineStr">
        <is>
          <t>primary_dx</t>
        </is>
      </c>
      <c r="C15" s="15" t="inlineStr">
        <is>
          <t>Coded as primary/principal diagnosis</t>
        </is>
      </c>
      <c r="D15" s="21" t="n">
        <v>0.8</v>
      </c>
      <c r="E15" s="21" t="n">
        <v>0</v>
      </c>
      <c r="F15" s="15" t="n"/>
    </row>
    <row r="16" ht="15" customHeight="1" s="11">
      <c r="A16" s="15" t="inlineStr">
        <is>
          <t>stroke</t>
        </is>
      </c>
      <c r="B16" s="15" t="inlineStr">
        <is>
          <t>no_dx_code</t>
        </is>
      </c>
      <c r="C16" s="15" t="inlineStr">
        <is>
          <t>Evidence-only candidate (no outcome diagnosis code)</t>
        </is>
      </c>
      <c r="D16" s="21" t="n">
        <v>0</v>
      </c>
      <c r="E16" s="21" t="n">
        <v>0.5</v>
      </c>
      <c r="F16" s="15" t="n"/>
    </row>
    <row r="17" ht="15" customHeight="1" s="11">
      <c r="A17" s="15" t="inlineStr">
        <is>
          <t>stroke</t>
        </is>
      </c>
      <c r="B17" s="15" t="inlineStr">
        <is>
          <t>neuroimaging</t>
        </is>
      </c>
      <c r="C17" s="15" t="inlineStr">
        <is>
          <t>Head CT/MRI in window (+); acute visit without imaging (−)</t>
        </is>
      </c>
      <c r="D17" s="21" t="n">
        <v>0.8</v>
      </c>
      <c r="E17" s="21" t="n">
        <v>1.5</v>
      </c>
      <c r="F17" s="15" t="n"/>
    </row>
    <row r="18" ht="15" customHeight="1" s="11">
      <c r="A18" s="15" t="inlineStr">
        <is>
          <t>stroke</t>
        </is>
      </c>
      <c r="B18" s="15" t="inlineStr">
        <is>
          <t>img_infarct</t>
        </is>
      </c>
      <c r="C18" s="15" t="inlineStr">
        <is>
          <t>Acute infarct / restricted diffusion reported</t>
        </is>
      </c>
      <c r="D18" s="21" t="n">
        <v>2</v>
      </c>
      <c r="E18" s="21" t="n">
        <v>0</v>
      </c>
      <c r="F18" s="15" t="n"/>
    </row>
    <row r="19" ht="15" customHeight="1" s="11">
      <c r="A19" s="15" t="inlineStr">
        <is>
          <t>stroke</t>
        </is>
      </c>
      <c r="B19" s="15" t="inlineStr">
        <is>
          <t>img_hemorrhage</t>
        </is>
      </c>
      <c r="C19" s="15" t="inlineStr">
        <is>
          <t>Acute intracranial hemorrhage reported</t>
        </is>
      </c>
      <c r="D19" s="21" t="n">
        <v>2.5</v>
      </c>
      <c r="E19" s="21" t="n">
        <v>0</v>
      </c>
      <c r="F19" s="15" t="n"/>
    </row>
    <row r="20" ht="15" customHeight="1" s="11">
      <c r="A20" s="15" t="inlineStr">
        <is>
          <t>stroke</t>
        </is>
      </c>
      <c r="B20" s="15" t="inlineStr">
        <is>
          <t>img_negative</t>
        </is>
      </c>
      <c r="C20" s="15" t="inlineStr">
        <is>
          <t>'No acute intracranial abnormality' without infarct/hemorrhage</t>
        </is>
      </c>
      <c r="D20" s="21" t="n">
        <v>0</v>
      </c>
      <c r="E20" s="21" t="n">
        <v>0.7</v>
      </c>
      <c r="F20" s="15" t="n"/>
    </row>
    <row r="21" ht="15" customHeight="1" s="11">
      <c r="A21" s="15" t="inlineStr">
        <is>
          <t>stroke</t>
        </is>
      </c>
      <c r="B21" s="15" t="inlineStr">
        <is>
          <t>note_stroke</t>
        </is>
      </c>
      <c r="C21" s="15" t="inlineStr">
        <is>
          <t>Stroke/TIA affirmed (+) / negated or history-only (−)</t>
        </is>
      </c>
      <c r="D21" s="21" t="n">
        <v>1.5</v>
      </c>
      <c r="E21" s="21" t="n">
        <v>2</v>
      </c>
      <c r="F21" s="15" t="n"/>
    </row>
    <row r="22" ht="15" customHeight="1" s="11">
      <c r="A22" s="15" t="inlineStr">
        <is>
          <t>stroke</t>
        </is>
      </c>
      <c r="B22" s="15" t="inlineStr">
        <is>
          <t>reperfusion</t>
        </is>
      </c>
      <c r="C22" s="15" t="inlineStr">
        <is>
          <t>Thrombolysis or thrombectomy</t>
        </is>
      </c>
      <c r="D22" s="21" t="n">
        <v>1.5</v>
      </c>
      <c r="E22" s="21" t="n">
        <v>0</v>
      </c>
      <c r="F22" s="15" t="n"/>
    </row>
    <row r="23" ht="15" customHeight="1" s="11">
      <c r="A23" s="15" t="inlineStr">
        <is>
          <t>hf</t>
        </is>
      </c>
      <c r="B23" s="15" t="inlineStr">
        <is>
          <t>(bias)</t>
        </is>
      </c>
      <c r="C23" s="15" t="inlineStr">
        <is>
          <t>Starting log-odds before any evidence</t>
        </is>
      </c>
      <c r="D23" s="21" t="n">
        <v>-1</v>
      </c>
      <c r="E23" s="21" t="n"/>
      <c r="F23" s="15" t="n"/>
    </row>
    <row r="24" ht="15" customHeight="1" s="11">
      <c r="A24" s="15" t="inlineStr">
        <is>
          <t>hf</t>
        </is>
      </c>
      <c r="B24" s="15" t="inlineStr">
        <is>
          <t>acute_visit</t>
        </is>
      </c>
      <c r="C24" s="15" t="inlineStr">
        <is>
          <t>Code recorded in an inpatient/ED visit (+) vs outpatient only (−)</t>
        </is>
      </c>
      <c r="D24" s="21" t="n">
        <v>1</v>
      </c>
      <c r="E24" s="21" t="n">
        <v>1</v>
      </c>
      <c r="F24" s="15" t="n"/>
    </row>
    <row r="25" ht="15" customHeight="1" s="11">
      <c r="A25" s="15" t="inlineStr">
        <is>
          <t>hf</t>
        </is>
      </c>
      <c r="B25" s="15" t="inlineStr">
        <is>
          <t>primary_dx</t>
        </is>
      </c>
      <c r="C25" s="15" t="inlineStr">
        <is>
          <t>Coded as primary/principal diagnosis</t>
        </is>
      </c>
      <c r="D25" s="21" t="n">
        <v>0.8</v>
      </c>
      <c r="E25" s="21" t="n">
        <v>0</v>
      </c>
      <c r="F25" s="15" t="n"/>
    </row>
    <row r="26" ht="15" customHeight="1" s="11">
      <c r="A26" s="15" t="inlineStr">
        <is>
          <t>hf</t>
        </is>
      </c>
      <c r="B26" s="15" t="inlineStr">
        <is>
          <t>no_dx_code</t>
        </is>
      </c>
      <c r="C26" s="15" t="inlineStr">
        <is>
          <t>Evidence-only candidate (no outcome diagnosis code)</t>
        </is>
      </c>
      <c r="D26" s="21" t="n">
        <v>0</v>
      </c>
      <c r="E26" s="21" t="n">
        <v>0.5</v>
      </c>
      <c r="F26" s="15" t="n"/>
    </row>
    <row r="27" ht="15" customHeight="1" s="11">
      <c r="A27" s="15" t="inlineStr">
        <is>
          <t>hf</t>
        </is>
      </c>
      <c r="B27" s="15" t="inlineStr">
        <is>
          <t>natriuretic_peptide</t>
        </is>
      </c>
      <c r="C27" s="15" t="inlineStr">
        <is>
          <t>BNP/NT-proBNP above rule-in (+) / all below rule-out (−)</t>
        </is>
      </c>
      <c r="D27" s="21" t="n">
        <v>1.5</v>
      </c>
      <c r="E27" s="21" t="n">
        <v>2</v>
      </c>
      <c r="F27" s="15" t="n"/>
    </row>
    <row r="28" ht="15" customHeight="1" s="11">
      <c r="A28" s="15" t="inlineStr">
        <is>
          <t>hf</t>
        </is>
      </c>
      <c r="B28" s="15" t="inlineStr">
        <is>
          <t>note_hf</t>
        </is>
      </c>
      <c r="C28" s="15" t="inlineStr">
        <is>
          <t>Acute/decompensated HF affirmed (+) / HF negated (−)</t>
        </is>
      </c>
      <c r="D28" s="21" t="n">
        <v>1.5</v>
      </c>
      <c r="E28" s="21" t="n">
        <v>1.5</v>
      </c>
      <c r="F28" s="15" t="n"/>
    </row>
    <row r="29" ht="15" customHeight="1" s="11">
      <c r="A29" s="15" t="inlineStr">
        <is>
          <t>hf</t>
        </is>
      </c>
      <c r="B29" s="15" t="inlineStr">
        <is>
          <t>echo</t>
        </is>
      </c>
      <c r="C29" s="15" t="inlineStr">
        <is>
          <t>Echocardiogram or LVEF reported in window</t>
        </is>
      </c>
      <c r="D29" s="21" t="n">
        <v>0.3</v>
      </c>
      <c r="E29" s="21" t="n">
        <v>0</v>
      </c>
      <c r="F29" s="15" t="n"/>
    </row>
    <row r="30" ht="15" customHeight="1" s="11">
      <c r="A30" s="15" t="inlineStr">
        <is>
          <t>scd</t>
        </is>
      </c>
      <c r="B30" s="15" t="inlineStr">
        <is>
          <t>(bias)</t>
        </is>
      </c>
      <c r="C30" s="15" t="inlineStr">
        <is>
          <t>Starting log-odds before any evidence</t>
        </is>
      </c>
      <c r="D30" s="21" t="n">
        <v>-1</v>
      </c>
      <c r="E30" s="21" t="n"/>
      <c r="F30" s="15" t="n"/>
    </row>
    <row r="31" ht="15" customHeight="1" s="11">
      <c r="A31" s="15" t="inlineStr">
        <is>
          <t>scd</t>
        </is>
      </c>
      <c r="B31" s="15" t="inlineStr">
        <is>
          <t>acute_visit</t>
        </is>
      </c>
      <c r="C31" s="15" t="inlineStr">
        <is>
          <t>Code recorded in an inpatient/ED visit (+) vs outpatient only (−)</t>
        </is>
      </c>
      <c r="D31" s="21" t="n">
        <v>1</v>
      </c>
      <c r="E31" s="21" t="n">
        <v>1</v>
      </c>
      <c r="F31" s="15" t="n"/>
    </row>
    <row r="32" ht="15" customHeight="1" s="11">
      <c r="A32" s="15" t="inlineStr">
        <is>
          <t>scd</t>
        </is>
      </c>
      <c r="B32" s="15" t="inlineStr">
        <is>
          <t>primary_dx</t>
        </is>
      </c>
      <c r="C32" s="15" t="inlineStr">
        <is>
          <t>Coded as primary/principal diagnosis</t>
        </is>
      </c>
      <c r="D32" s="21" t="n">
        <v>0.8</v>
      </c>
      <c r="E32" s="21" t="n">
        <v>0</v>
      </c>
      <c r="F32" s="15" t="n"/>
    </row>
    <row r="33" ht="15" customHeight="1" s="11">
      <c r="A33" s="15" t="inlineStr">
        <is>
          <t>scd</t>
        </is>
      </c>
      <c r="B33" s="15" t="inlineStr">
        <is>
          <t>no_dx_code</t>
        </is>
      </c>
      <c r="C33" s="15" t="inlineStr">
        <is>
          <t>Evidence-only candidate (no outcome diagnosis code)</t>
        </is>
      </c>
      <c r="D33" s="21" t="n">
        <v>0</v>
      </c>
      <c r="E33" s="21" t="n">
        <v>0.5</v>
      </c>
      <c r="F33" s="15" t="n"/>
    </row>
    <row r="34" ht="15" customHeight="1" s="11">
      <c r="A34" s="15" t="inlineStr">
        <is>
          <t>scd</t>
        </is>
      </c>
      <c r="B34" s="15" t="inlineStr">
        <is>
          <t>resuscitation</t>
        </is>
      </c>
      <c r="C34" s="15" t="inlineStr">
        <is>
          <t>CPR or defibrillation in window</t>
        </is>
      </c>
      <c r="D34" s="21" t="n">
        <v>2.5</v>
      </c>
      <c r="E34" s="21" t="n">
        <v>0</v>
      </c>
      <c r="F34" s="15" t="n"/>
    </row>
    <row r="35" ht="15" customHeight="1" s="11">
      <c r="A35" s="15" t="inlineStr">
        <is>
          <t>scd</t>
        </is>
      </c>
      <c r="B35" s="15" t="inlineStr">
        <is>
          <t>note_arrest</t>
        </is>
      </c>
      <c r="C35" s="15" t="inlineStr">
        <is>
          <t>Arrest/VF/sustained VT/ROSC affirmed (+) / negated (−)</t>
        </is>
      </c>
      <c r="D35" s="21" t="n">
        <v>1.5</v>
      </c>
      <c r="E35" s="21" t="n">
        <v>1.5</v>
      </c>
      <c r="F35" s="15" t="n"/>
    </row>
    <row r="36" ht="15" customHeight="1" s="11">
      <c r="A36" s="15" t="inlineStr">
        <is>
          <t>scd</t>
        </is>
      </c>
      <c r="B36" s="15" t="inlineStr">
        <is>
          <t>note_nsvt</t>
        </is>
      </c>
      <c r="C36" s="15" t="inlineStr">
        <is>
          <t>Only non-sustained VT documented</t>
        </is>
      </c>
      <c r="D36" s="21" t="n">
        <v>0</v>
      </c>
      <c r="E36" s="21" t="n">
        <v>2.5</v>
      </c>
      <c r="F36" s="15" t="n"/>
    </row>
    <row r="37" ht="15" customHeight="1" s="11">
      <c r="A37" s="15" t="inlineStr">
        <is>
          <t>scd</t>
        </is>
      </c>
      <c r="B37" s="15" t="inlineStr">
        <is>
          <t>died_within_1d</t>
        </is>
      </c>
      <c r="C37" s="15" t="inlineStr">
        <is>
          <t>Death within 1 day</t>
        </is>
      </c>
      <c r="D37" s="21" t="n">
        <v>1</v>
      </c>
      <c r="E37" s="21" t="n">
        <v>0</v>
      </c>
      <c r="F37" s="15" t="n"/>
    </row>
    <row r="38" ht="15" customHeight="1" s="11">
      <c r="A38" s="15" t="inlineStr">
        <is>
          <t>af</t>
        </is>
      </c>
      <c r="B38" s="15" t="inlineStr">
        <is>
          <t>(bias)</t>
        </is>
      </c>
      <c r="C38" s="15" t="inlineStr">
        <is>
          <t>Starting log-odds before any evidence</t>
        </is>
      </c>
      <c r="D38" s="21" t="n">
        <v>0</v>
      </c>
      <c r="E38" s="21" t="n"/>
      <c r="F38" s="15" t="n"/>
    </row>
    <row r="39" ht="15" customHeight="1" s="11">
      <c r="A39" s="15" t="inlineStr">
        <is>
          <t>af</t>
        </is>
      </c>
      <c r="B39" s="15" t="inlineStr">
        <is>
          <t>no_dx_code</t>
        </is>
      </c>
      <c r="C39" s="15" t="inlineStr">
        <is>
          <t>Evidence-only candidate (no outcome diagnosis code)</t>
        </is>
      </c>
      <c r="D39" s="21" t="n">
        <v>0</v>
      </c>
      <c r="E39" s="21" t="n">
        <v>0.5</v>
      </c>
      <c r="F39" s="15" t="n"/>
    </row>
    <row r="40" ht="15" customHeight="1" s="11">
      <c r="A40" s="15" t="inlineStr">
        <is>
          <t>af</t>
        </is>
      </c>
      <c r="B40" s="15" t="inlineStr">
        <is>
          <t>repeat_af_codes</t>
        </is>
      </c>
      <c r="C40" s="15" t="inlineStr">
        <is>
          <t>AF coded on ≥2 dates within 1 year (+) / single outpatient code (−)</t>
        </is>
      </c>
      <c r="D40" s="21" t="n">
        <v>1.5</v>
      </c>
      <c r="E40" s="21" t="n">
        <v>0.5</v>
      </c>
      <c r="F40" s="15" t="n"/>
    </row>
    <row r="41" ht="15" customHeight="1" s="11">
      <c r="A41" s="15" t="inlineStr">
        <is>
          <t>af</t>
        </is>
      </c>
      <c r="B41" s="15" t="inlineStr">
        <is>
          <t>note_af</t>
        </is>
      </c>
      <c r="C41" s="15" t="inlineStr">
        <is>
          <t>AF/flutter affirmed (+) / negated or only 'evaluate for' (−)</t>
        </is>
      </c>
      <c r="D41" s="21" t="n">
        <v>2</v>
      </c>
      <c r="E41" s="21" t="n">
        <v>1.5</v>
      </c>
      <c r="F41" s="15" t="n"/>
    </row>
    <row r="42" ht="15" customHeight="1" s="11">
      <c r="A42" s="15" t="inlineStr">
        <is>
          <t>af</t>
        </is>
      </c>
      <c r="B42" s="15" t="inlineStr">
        <is>
          <t>cardioversion</t>
        </is>
      </c>
      <c r="C42" s="15" t="inlineStr">
        <is>
          <t>Cardioversion performed</t>
        </is>
      </c>
      <c r="D42" s="21" t="n">
        <v>1</v>
      </c>
      <c r="E42" s="21" t="n">
        <v>0</v>
      </c>
      <c r="F42" s="15" t="n"/>
    </row>
  </sheetData>
  <autoFilter ref="A2:F42"/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8" customWidth="1" style="10" min="1" max="1"/>
    <col width="20" customWidth="1" style="10" min="2" max="2"/>
    <col width="90" customWidth="1" style="10" min="3" max="3"/>
    <col width="26" customWidth="1" style="10" min="4" max="4"/>
  </cols>
  <sheetData>
    <row r="1" ht="30" customHeight="1" s="11">
      <c r="A1" s="20" t="inlineStr">
        <is>
          <t>Automatic annotation: how candidate episodes, note context, subtypes and imaging values are derived.</t>
        </is>
      </c>
    </row>
    <row r="2" ht="15" customHeight="1" s="11">
      <c r="A2" s="14" t="inlineStr">
        <is>
          <t>Rule</t>
        </is>
      </c>
      <c r="B2" s="14" t="inlineStr">
        <is>
          <t>Applies to</t>
        </is>
      </c>
      <c r="C2" s="14" t="inlineStr">
        <is>
          <t>Logic</t>
        </is>
      </c>
      <c r="D2" s="14" t="inlineStr">
        <is>
          <t>Evidence / file</t>
        </is>
      </c>
    </row>
    <row r="3" ht="23.85" customHeight="1" s="11">
      <c r="A3" s="15" t="inlineStr">
        <is>
          <t>Episode building</t>
        </is>
      </c>
      <c r="B3" s="15" t="inlineStr">
        <is>
          <t>All outcomes</t>
        </is>
      </c>
      <c r="C3" s="15" t="inlineStr">
        <is>
          <t>Post-index outcome codes for one patient and family with ≤7 days between consecutive codes form one candidate episode; date = first code</t>
        </is>
      </c>
      <c r="D3" s="15" t="inlineStr">
        <is>
          <t>Codes</t>
        </is>
      </c>
    </row>
    <row r="4" ht="23.85" customHeight="1" s="11">
      <c r="A4" s="15" t="inlineStr">
        <is>
          <t>Evidence-only candidates</t>
        </is>
      </c>
      <c r="B4" s="15" t="inlineStr">
        <is>
          <t>AMI, Stroke, SCD, AF</t>
        </is>
      </c>
      <c r="C4" s="15" t="inlineStr">
        <is>
          <t>PCI, thrombolysis/thrombectomy, CPR or cardioversion with no outcome code within 7 days creates a candidate (finds missed codes)</t>
        </is>
      </c>
      <c r="D4" s="15" t="inlineStr">
        <is>
          <t>Procedures</t>
        </is>
      </c>
    </row>
    <row r="5" ht="23.85" customHeight="1" s="11">
      <c r="A5" s="15" t="inlineStr">
        <is>
          <t>Label relevance</t>
        </is>
      </c>
      <c r="B5" s="15" t="inlineStr">
        <is>
          <t>All outcomes</t>
        </is>
      </c>
      <c r="C5" s="15" t="inlineStr">
        <is>
          <t>Candidates after a patient's first auto-confirmed (and definition-eligible) event cannot change a label and are not adjudicated</t>
        </is>
      </c>
      <c r="D5" s="15" t="inlineStr">
        <is>
          <t>Auto-labels</t>
        </is>
      </c>
    </row>
    <row r="6" ht="23.85" customHeight="1" s="11">
      <c r="A6" s="15" t="inlineStr">
        <is>
          <t>Note context (NegEx-style)</t>
        </is>
      </c>
      <c r="B6" s="15" t="inlineStr">
        <is>
          <t>All outcomes</t>
        </is>
      </c>
      <c r="C6" s="15" t="inlineStr">
        <is>
          <t>Each mention classed as affirmed, negated (no / ruled out / without …), historical (history of / prior / s/p) or hypothetical (rule out / evaluate for / possible)</t>
        </is>
      </c>
      <c r="D6" s="15" t="inlineStr">
        <is>
          <t>Notes, 45-character window</t>
        </is>
      </c>
    </row>
    <row r="7" ht="23.85" customHeight="1" s="11">
      <c r="A7" s="15" t="inlineStr">
        <is>
          <t>Mention patterns</t>
        </is>
      </c>
      <c r="B7" s="15" t="inlineStr">
        <is>
          <t>All outcomes</t>
        </is>
      </c>
      <c r="C7" s="15" t="inlineStr">
        <is>
          <t>ami: ami, nstemi, stemi, type2_mi; stroke: stroke, stroke_ischemic_img, stroke_hem_img, no_acute_intracranial; hf: hf_acute, hf_any; scd: arrest, nsvt, vf; af: af, flutter</t>
        </is>
      </c>
      <c r="D7" s="15" t="inlineStr">
        <is>
          <t>training/nlp.py</t>
        </is>
      </c>
    </row>
    <row r="8" ht="23.85" customHeight="1" s="11">
      <c r="A8" s="15" t="inlineStr">
        <is>
          <t>Troponin kinetics</t>
        </is>
      </c>
      <c r="B8" s="15" t="inlineStr">
        <is>
          <t>AMI</t>
        </is>
      </c>
      <c r="C8" s="15" t="inlineStr">
        <is>
          <t>Values normalised to ng/L; URL = range_high, else Mayo TRPS hs-TnT ≤15 (M) / ≤10 (F) ng/L; rise/fall = ≥20% change above URL, or Mayo rule ≥10 ng/L in 2 h / ≥12 ng/L in 6 h</t>
        </is>
      </c>
      <c r="D8" s="15" t="inlineStr">
        <is>
          <t>Labs −1 to +3 d</t>
        </is>
      </c>
    </row>
    <row r="9" ht="23.85" customHeight="1" s="11">
      <c r="A9" s="15" t="inlineStr">
        <is>
          <t>Natriuretic peptides</t>
        </is>
      </c>
      <c r="B9" s="15" t="inlineStr">
        <is>
          <t>HF</t>
        </is>
      </c>
      <c r="C9" s="15" t="inlineStr">
        <is>
          <t>Rule-in BNP ≥100 or NT-proBNP ≥450/900/1800 pg/mL (age &lt;50 / 50–75 / &gt;75); rule-out BNP &lt;100 and NT-proBNP &lt;300</t>
        </is>
      </c>
      <c r="D9" s="15" t="inlineStr">
        <is>
          <t>Labs −2 to +3 d</t>
        </is>
      </c>
    </row>
    <row r="10" ht="23.85" customHeight="1" s="11">
      <c r="A10" s="15" t="inlineStr">
        <is>
          <t>AMI subtype</t>
        </is>
      </c>
      <c r="B10" s="15" t="inlineStr">
        <is>
          <t>AMI</t>
        </is>
      </c>
      <c r="C10" s="15" t="inlineStr">
        <is>
          <t>I21.A1 or 'type 2 MI / demand ischemia' → type 2; I21.0–I21.3 or STEMI → STEMI; I21.4 or NSTEMI → NSTEMI; else unspecified</t>
        </is>
      </c>
      <c r="D10" s="15" t="inlineStr">
        <is>
          <t>Codes + notes</t>
        </is>
      </c>
    </row>
    <row r="11" ht="23.85" customHeight="1" s="11">
      <c r="A11" s="15" t="inlineStr">
        <is>
          <t>Stroke subtype</t>
        </is>
      </c>
      <c r="B11" s="15" t="inlineStr">
        <is>
          <t>Stroke</t>
        </is>
      </c>
      <c r="C11" s="15" t="inlineStr">
        <is>
          <t>Haemorrhage on imaging or I60–I62 → haemorrhagic; acute infarct or I63 → ischaemic; G45 → TIA; else unknown</t>
        </is>
      </c>
      <c r="D11" s="15" t="inlineStr">
        <is>
          <t>Codes + reports</t>
        </is>
      </c>
    </row>
    <row r="12" ht="23.85" customHeight="1" s="11">
      <c r="A12" s="15" t="inlineStr">
        <is>
          <t>HF subtype</t>
        </is>
      </c>
      <c r="B12" s="15" t="inlineStr">
        <is>
          <t>HF</t>
        </is>
      </c>
      <c r="C12" s="15" t="inlineStr">
        <is>
          <t>LVEF from echo/imaging −7 to +30 d: ≤40% HFrEF, 41–49% HFmrEF, ≥50% HFpEF; else I50.2/I50.4 → HFrEF, I50.3 → HFpEF; else unknown</t>
        </is>
      </c>
      <c r="D12" s="15" t="inlineStr">
        <is>
          <t>Echo notes + codes</t>
        </is>
      </c>
    </row>
    <row r="13" ht="15" customHeight="1" s="11">
      <c r="A13" s="15" t="inlineStr">
        <is>
          <t>SCD subtype</t>
        </is>
      </c>
      <c r="B13" s="15" t="inlineStr">
        <is>
          <t>SCD</t>
        </is>
      </c>
      <c r="C13" s="15" t="inlineStr">
        <is>
          <t>VF mention or I49.01 → VF; I47.2 with arrest → sustained VT; I46 or arrest → arrest; else unknown</t>
        </is>
      </c>
      <c r="D13" s="15" t="inlineStr">
        <is>
          <t>Codes + notes</t>
        </is>
      </c>
    </row>
    <row r="14" ht="15" customHeight="1" s="11">
      <c r="A14" s="15" t="inlineStr">
        <is>
          <t>AF subtype</t>
        </is>
      </c>
      <c r="B14" s="15" t="inlineStr">
        <is>
          <t>AF</t>
        </is>
      </c>
      <c r="C14" s="15" t="inlineStr">
        <is>
          <t>Cardiac surgery in the 30 days before → post-operative; flutter-only codes/mentions → flutter; else AF</t>
        </is>
      </c>
      <c r="D14" s="15" t="inlineStr">
        <is>
          <t>Procedures + codes + notes</t>
        </is>
      </c>
    </row>
    <row r="15" ht="23.85" customHeight="1" s="11">
      <c r="A15" s="15" t="inlineStr">
        <is>
          <t>LVEF extraction (feature + annotation)</t>
        </is>
      </c>
      <c r="B15" s="15" t="inlineStr">
        <is>
          <t>HF, SCD, AF inputs</t>
        </is>
      </c>
      <c r="C15" s="15" t="inlineStr">
        <is>
          <t>'LVEF / ejection fraction … NN%' or 'NN percent'; ranges → midpoint; accepted 5–85%</t>
        </is>
      </c>
      <c r="D15" s="15" t="inlineStr">
        <is>
          <t>training/imaging_nlp.py</t>
        </is>
      </c>
    </row>
    <row r="16" ht="23.85" customHeight="1" s="11">
      <c r="A16" s="15" t="inlineStr">
        <is>
          <t>Calcium score extraction</t>
        </is>
      </c>
      <c r="B16" s="15" t="inlineStr">
        <is>
          <t>AMI, Stroke, HF inputs</t>
        </is>
      </c>
      <c r="C16" s="15" t="inlineStr">
        <is>
          <t>'calcium score / Agatston … N', 'N Agatston', 'calcium … score N'; 'no coronary calcification' → 0; accepted 0–10,000</t>
        </is>
      </c>
      <c r="D16" s="15" t="inlineStr">
        <is>
          <t>training/imaging_nlp.py</t>
        </is>
      </c>
    </row>
    <row r="17" ht="23.85" customHeight="1" s="11">
      <c r="A17" s="15" t="inlineStr">
        <is>
          <t>Annotation verification</t>
        </is>
      </c>
      <c r="B17" s="15" t="inlineStr">
        <is>
          <t>LVEF, CAC</t>
        </is>
      </c>
      <c r="C17" s="15" t="inlineStr">
        <is>
          <t>100 reports (80% with an extracted value, 20% without) checked by a cardiologist; accuracy weighted by 1/sampling probability; gate ≥90%</t>
        </is>
      </c>
      <c r="D17" s="15" t="inlineStr">
        <is>
          <t>Workbench</t>
        </is>
      </c>
    </row>
  </sheetData>
  <autoFilter ref="A2:D17"/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10" min="1" max="1"/>
    <col width="14" customWidth="1" style="10" min="2" max="2"/>
    <col width="70" customWidth="1" style="10" min="3" max="3"/>
    <col width="20" customWidth="1" style="10" min="4" max="4"/>
    <col width="22" customWidth="1" style="10" min="5" max="5"/>
  </cols>
  <sheetData>
    <row r="1" ht="30" customHeight="1" s="11">
      <c r="A1" s="20" t="inlineStr">
        <is>
          <t>22 checks run on every label run (training/audit.py); thresholds from data/governance.json. Warnings must be acknowledged and failures waived with a written reason or fixed before adjudication.</t>
        </is>
      </c>
    </row>
    <row r="2" ht="15" customHeight="1" s="11">
      <c r="A2" s="14" t="inlineStr">
        <is>
          <t>Check id</t>
        </is>
      </c>
      <c r="B2" s="14" t="inlineStr">
        <is>
          <t>Category</t>
        </is>
      </c>
      <c r="C2" s="14" t="inlineStr">
        <is>
          <t>What is checked</t>
        </is>
      </c>
      <c r="D2" s="14" t="inlineStr">
        <is>
          <t>Warn when</t>
        </is>
      </c>
      <c r="E2" s="14" t="inlineStr">
        <is>
          <t>Fail when</t>
        </is>
      </c>
    </row>
    <row r="3" ht="15" customHeight="1" s="11">
      <c r="A3" s="15" t="inlineStr">
        <is>
          <t>schema</t>
        </is>
      </c>
      <c r="B3" s="15" t="inlineStr">
        <is>
          <t>Schema</t>
        </is>
      </c>
      <c r="C3" s="15" t="inlineStr">
        <is>
          <t>Required columns present in the features table</t>
        </is>
      </c>
      <c r="D3" s="15" t="inlineStr">
        <is>
          <t>—</t>
        </is>
      </c>
      <c r="E3" s="15" t="inlineStr">
        <is>
          <t>any missing</t>
        </is>
      </c>
    </row>
    <row r="4" ht="15" customHeight="1" s="11">
      <c r="A4" s="15" t="inlineStr">
        <is>
          <t>orphans</t>
        </is>
      </c>
      <c r="B4" s="15" t="inlineStr">
        <is>
          <t>Schema</t>
        </is>
      </c>
      <c r="C4" s="15" t="inlineStr">
        <is>
          <t>Candidates for patients not in the cohort</t>
        </is>
      </c>
      <c r="D4" s="15" t="inlineStr">
        <is>
          <t>—</t>
        </is>
      </c>
      <c r="E4" s="15" t="inlineStr">
        <is>
          <t>&gt; 0</t>
        </is>
      </c>
    </row>
    <row r="5" ht="15" customHeight="1" s="11">
      <c r="A5" s="15" t="inlineStr">
        <is>
          <t>evidence_tables</t>
        </is>
      </c>
      <c r="B5" s="15" t="inlineStr">
        <is>
          <t>Schema</t>
        </is>
      </c>
      <c r="C5" s="15" t="inlineStr">
        <is>
          <t>Labs, procedures and notes tables are non-empty</t>
        </is>
      </c>
      <c r="D5" s="15" t="inlineStr">
        <is>
          <t>—</t>
        </is>
      </c>
      <c r="E5" s="15" t="inlineStr">
        <is>
          <t>any empty</t>
        </is>
      </c>
    </row>
    <row r="6" ht="15" customHeight="1" s="11">
      <c r="A6" s="15" t="inlineStr">
        <is>
          <t>cohort_size</t>
        </is>
      </c>
      <c r="B6" s="15" t="inlineStr">
        <is>
          <t>Cohort</t>
        </is>
      </c>
      <c r="C6" s="15" t="inlineStr">
        <is>
          <t>Number of patients</t>
        </is>
      </c>
      <c r="D6" s="15" t="inlineStr">
        <is>
          <t>—</t>
        </is>
      </c>
      <c r="E6" s="15" t="inlineStr">
        <is>
          <t>&lt; 1,000</t>
        </is>
      </c>
    </row>
    <row r="7" ht="15" customHeight="1" s="11">
      <c r="A7" s="15" t="inlineStr">
        <is>
          <t>duplicates</t>
        </is>
      </c>
      <c r="B7" s="15" t="inlineStr">
        <is>
          <t>Cohort</t>
        </is>
      </c>
      <c r="C7" s="15" t="inlineStr">
        <is>
          <t>Duplicate patients</t>
        </is>
      </c>
      <c r="D7" s="15" t="inlineStr">
        <is>
          <t>—</t>
        </is>
      </c>
      <c r="E7" s="15" t="inlineStr">
        <is>
          <t>&gt; 0</t>
        </is>
      </c>
    </row>
    <row r="8" ht="15" customHeight="1" s="11">
      <c r="A8" s="15" t="inlineStr">
        <is>
          <t>age_range</t>
        </is>
      </c>
      <c r="B8" s="15" t="inlineStr">
        <is>
          <t>Cohort</t>
        </is>
      </c>
      <c r="C8" s="15" t="inlineStr">
        <is>
          <t>Age at index outside 18–90</t>
        </is>
      </c>
      <c r="D8" s="15" t="inlineStr">
        <is>
          <t>—</t>
        </is>
      </c>
      <c r="E8" s="15" t="inlineStr">
        <is>
          <t>&gt; 0</t>
        </is>
      </c>
    </row>
    <row r="9" ht="15" customHeight="1" s="11">
      <c r="A9" s="15" t="inlineStr">
        <is>
          <t>followup_negative</t>
        </is>
      </c>
      <c r="B9" s="15" t="inlineStr">
        <is>
          <t>Temporal</t>
        </is>
      </c>
      <c r="C9" s="15" t="inlineStr">
        <is>
          <t>Negative follow-up time</t>
        </is>
      </c>
      <c r="D9" s="15" t="inlineStr">
        <is>
          <t>—</t>
        </is>
      </c>
      <c r="E9" s="15" t="inlineStr">
        <is>
          <t>&gt; 0</t>
        </is>
      </c>
    </row>
    <row r="10" ht="15" customHeight="1" s="11">
      <c r="A10" s="15" t="inlineStr">
        <is>
          <t>followup_5y</t>
        </is>
      </c>
      <c r="B10" s="15" t="inlineStr">
        <is>
          <t>Temporal</t>
        </is>
      </c>
      <c r="C10" s="15" t="inlineStr">
        <is>
          <t>Share with ≥5 years follow-up or death</t>
        </is>
      </c>
      <c r="D10" s="15" t="inlineStr">
        <is>
          <t>&lt; 30%</t>
        </is>
      </c>
      <c r="E10" s="15" t="inlineStr">
        <is>
          <t>—</t>
        </is>
      </c>
    </row>
    <row r="11" ht="15" customHeight="1" s="11">
      <c r="A11" s="15" t="inlineStr">
        <is>
          <t>events_after_death</t>
        </is>
      </c>
      <c r="B11" s="15" t="inlineStr">
        <is>
          <t>Temporal</t>
        </is>
      </c>
      <c r="C11" s="15" t="inlineStr">
        <is>
          <t>Candidate events more than 1 day after recorded death</t>
        </is>
      </c>
      <c r="D11" s="15" t="inlineStr">
        <is>
          <t>&gt; 0</t>
        </is>
      </c>
      <c r="E11" s="15" t="inlineStr">
        <is>
          <t>&gt; 0.5% of candidates</t>
        </is>
      </c>
    </row>
    <row r="12" ht="15" customHeight="1" s="11">
      <c r="A12" s="15" t="inlineStr">
        <is>
          <t>events_after_index</t>
        </is>
      </c>
      <c r="B12" s="15" t="inlineStr">
        <is>
          <t>Leakage</t>
        </is>
      </c>
      <c r="C12" s="15" t="inlineStr">
        <is>
          <t>Candidate events on or before the index date</t>
        </is>
      </c>
      <c r="D12" s="15" t="inlineStr">
        <is>
          <t>—</t>
        </is>
      </c>
      <c r="E12" s="15" t="inlineStr">
        <is>
          <t>&gt; 0</t>
        </is>
      </c>
    </row>
    <row r="13" ht="23.85" customHeight="1" s="11">
      <c r="A13" s="15" t="inlineStr">
        <is>
          <t>plausibility</t>
        </is>
      </c>
      <c r="B13" s="15" t="inlineStr">
        <is>
          <t>Data quality</t>
        </is>
      </c>
      <c r="C13" s="15" t="inlineStr">
        <is>
          <t>Share of values outside each input's clinical range (worst feature); cleared to missing in the release</t>
        </is>
      </c>
      <c r="D13" s="15" t="inlineStr">
        <is>
          <t>&gt; 0.1%</t>
        </is>
      </c>
      <c r="E13" s="15" t="inlineStr">
        <is>
          <t>&gt; 1%</t>
        </is>
      </c>
    </row>
    <row r="14" ht="15" customHeight="1" s="11">
      <c r="A14" s="15" t="inlineStr">
        <is>
          <t>units</t>
        </is>
      </c>
      <c r="B14" s="15" t="inlineStr">
        <is>
          <t>Data quality</t>
        </is>
      </c>
      <c r="C14" s="15" t="inlineStr">
        <is>
          <t>Values suggesting unconverted units (metres/inches, pounds, mmol/L, mmol/mol)</t>
        </is>
      </c>
      <c r="D14" s="15" t="inlineStr">
        <is>
          <t>&gt; 0.1%</t>
        </is>
      </c>
      <c r="E14" s="15" t="inlineStr">
        <is>
          <t>&gt; 1%</t>
        </is>
      </c>
    </row>
    <row r="15" ht="15" customHeight="1" s="11">
      <c r="A15" s="15" t="inlineStr">
        <is>
          <t>core_missing</t>
        </is>
      </c>
      <c r="B15" s="15" t="inlineStr">
        <is>
          <t>Missingness</t>
        </is>
      </c>
      <c r="C15" s="15" t="inlineStr">
        <is>
          <t>Age, sex, SBP, total cholesterol, HDL missing</t>
        </is>
      </c>
      <c r="D15" s="15" t="inlineStr">
        <is>
          <t>—</t>
        </is>
      </c>
      <c r="E15" s="15" t="inlineStr">
        <is>
          <t>&gt; 5% for any</t>
        </is>
      </c>
    </row>
    <row r="16" ht="15" customHeight="1" s="11">
      <c r="A16" s="15" t="inlineStr">
        <is>
          <t>missingness</t>
        </is>
      </c>
      <c r="B16" s="15" t="inlineStr">
        <is>
          <t>Missingness</t>
        </is>
      </c>
      <c r="C16" s="15" t="inlineStr">
        <is>
          <t>Other inputs with high missingness (CAC, LVEF, hs-CRP exempt)</t>
        </is>
      </c>
      <c r="D16" s="15" t="inlineStr">
        <is>
          <t>&gt; 60%</t>
        </is>
      </c>
      <c r="E16" s="15" t="inlineStr">
        <is>
          <t>—</t>
        </is>
      </c>
    </row>
    <row r="17" ht="15" customHeight="1" s="11">
      <c r="A17" s="15" t="inlineStr">
        <is>
          <t>missing_disparity</t>
        </is>
      </c>
      <c r="B17" s="15" t="inlineStr">
        <is>
          <t>Fairness</t>
        </is>
      </c>
      <c r="C17" s="15" t="inlineStr">
        <is>
          <t>Gap in missingness between sex or race groups (≥100 patients)</t>
        </is>
      </c>
      <c r="D17" s="15" t="inlineStr">
        <is>
          <t>&gt; 15% points</t>
        </is>
      </c>
      <c r="E17" s="15" t="inlineStr">
        <is>
          <t>—</t>
        </is>
      </c>
    </row>
    <row r="18" ht="15" customHeight="1" s="11">
      <c r="A18" s="15" t="inlineStr">
        <is>
          <t>representation</t>
        </is>
      </c>
      <c r="B18" s="15" t="inlineStr">
        <is>
          <t>Fairness</t>
        </is>
      </c>
      <c r="C18" s="15" t="inlineStr">
        <is>
          <t>Demographic subgroups below a minimum share of the cohort</t>
        </is>
      </c>
      <c r="D18" s="15" t="inlineStr">
        <is>
          <t>&lt; 1%</t>
        </is>
      </c>
      <c r="E18" s="15" t="inlineStr">
        <is>
          <t>—</t>
        </is>
      </c>
    </row>
    <row r="19" ht="15" customHeight="1" s="11">
      <c r="A19" s="15" t="inlineStr">
        <is>
          <t>uncertain_fraction</t>
        </is>
      </c>
      <c r="B19" s="15" t="inlineStr">
        <is>
          <t>Auto-labels</t>
        </is>
      </c>
      <c r="C19" s="15" t="inlineStr">
        <is>
          <t>Share of label-relevant candidates left uncertain, per outcome</t>
        </is>
      </c>
      <c r="D19" s="15" t="inlineStr">
        <is>
          <t>&gt; 40%</t>
        </is>
      </c>
      <c r="E19" s="15" t="inlineStr">
        <is>
          <t>—</t>
        </is>
      </c>
    </row>
    <row r="20" ht="15" customHeight="1" s="11">
      <c r="A20" s="15" t="inlineStr">
        <is>
          <t>lf_conflict</t>
        </is>
      </c>
      <c r="B20" s="15" t="inlineStr">
        <is>
          <t>Auto-labels</t>
        </is>
      </c>
      <c r="C20" s="15" t="inlineStr">
        <is>
          <t>Candidates where labelling functions vote both for and against</t>
        </is>
      </c>
      <c r="D20" s="15" t="inlineStr">
        <is>
          <t>&gt; 25%</t>
        </is>
      </c>
      <c r="E20" s="15" t="inlineStr">
        <is>
          <t>—</t>
        </is>
      </c>
    </row>
    <row r="21" ht="15" customHeight="1" s="11">
      <c r="A21" s="15" t="inlineStr">
        <is>
          <t>lf_coverage</t>
        </is>
      </c>
      <c r="B21" s="15" t="inlineStr">
        <is>
          <t>Auto-labels</t>
        </is>
      </c>
      <c r="C21" s="15" t="inlineStr">
        <is>
          <t>Labelling functions that never fire (missing evidence or codes)</t>
        </is>
      </c>
      <c r="D21" s="15" t="inlineStr">
        <is>
          <t>any</t>
        </is>
      </c>
      <c r="E21" s="15" t="inlineStr">
        <is>
          <t>—</t>
        </is>
      </c>
    </row>
    <row r="22" ht="23.85" customHeight="1" s="11">
      <c r="A22" s="15" t="inlineStr">
        <is>
          <t>prevalence</t>
        </is>
      </c>
      <c r="B22" s="15" t="inlineStr">
        <is>
          <t>Auto-labels</t>
        </is>
      </c>
      <c r="C22" s="15" t="inlineStr">
        <is>
          <t>5-year auto-confirmed incidence outside the expected range: ami 0.3%–8%; stroke 0.3%–8%; hf 0.5%–10%; scd 0.1%–2%; af 0.5%–12%</t>
        </is>
      </c>
      <c r="D22" s="15" t="inlineStr">
        <is>
          <t>outside range</t>
        </is>
      </c>
      <c r="E22" s="15" t="inlineStr">
        <is>
          <t>—</t>
        </is>
      </c>
    </row>
    <row r="23" ht="15" customHeight="1" s="11">
      <c r="A23" s="15" t="inlineStr">
        <is>
          <t>icd_drift</t>
        </is>
      </c>
      <c r="B23" s="15" t="inlineStr">
        <is>
          <t>Coding</t>
        </is>
      </c>
      <c r="C23" s="15" t="inlineStr">
        <is>
          <t>Candidate rate per 1,000 patient-years, ICD-10 era vs ICD-9 era (Oct 2015)</t>
        </is>
      </c>
      <c r="D23" s="15" t="inlineStr">
        <is>
          <t>ratio outside 0.67–1.5</t>
        </is>
      </c>
      <c r="E23" s="15" t="inlineStr">
        <is>
          <t>—</t>
        </is>
      </c>
    </row>
    <row r="24" ht="15" customHeight="1" s="11">
      <c r="A24" s="15" t="inlineStr">
        <is>
          <t>annotation_yield</t>
        </is>
      </c>
      <c r="B24" s="15" t="inlineStr">
        <is>
          <t>Annotation</t>
        </is>
      </c>
      <c r="C24" s="15" t="inlineStr">
        <is>
          <t>Reports mentioning LVEF/CAC where a value was extracted</t>
        </is>
      </c>
      <c r="D24" s="15" t="inlineStr">
        <is>
          <t>&lt; 90%</t>
        </is>
      </c>
      <c r="E24" s="15" t="inlineStr">
        <is>
          <t>—</t>
        </is>
      </c>
    </row>
  </sheetData>
  <autoFilter ref="A2:E24"/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0" min="1" max="1"/>
    <col width="60" customWidth="1" style="10" min="2" max="2"/>
    <col width="14" customWidth="1" style="10" min="3" max="3"/>
    <col width="20" customWidth="1" style="10" min="4" max="4"/>
  </cols>
  <sheetData>
    <row r="1" ht="30" customHeight="1" s="11">
      <c r="A1" s="20" t="inlineStr">
        <is>
          <t>Training on Mayo Clinic Platform data requires a release in which every gate passed or was waived.</t>
        </is>
      </c>
    </row>
    <row r="2" ht="15" customHeight="1" s="11">
      <c r="A2" s="14" t="inlineStr">
        <is>
          <t>Gate</t>
        </is>
      </c>
      <c r="B2" s="14" t="inlineStr">
        <is>
          <t>Requirement</t>
        </is>
      </c>
      <c r="C2" s="14" t="inlineStr">
        <is>
          <t>Scope</t>
        </is>
      </c>
      <c r="D2" s="14" t="inlineStr">
        <is>
          <t>Who may waive</t>
        </is>
      </c>
    </row>
    <row r="3" ht="15" customHeight="1" s="11">
      <c r="A3" s="15" t="inlineStr">
        <is>
          <t>Automatic audit resolved</t>
        </is>
      </c>
      <c r="B3" s="15" t="inlineStr">
        <is>
          <t>All warnings acknowledged, all failures waived (written reason) or fixed</t>
        </is>
      </c>
      <c r="C3" s="15" t="inlineStr">
        <is>
          <t>All</t>
        </is>
      </c>
      <c r="D3" s="15" t="inlineStr">
        <is>
          <t>Data scientist</t>
        </is>
      </c>
    </row>
    <row r="4" ht="15" customHeight="1" s="11">
      <c r="A4" s="15" t="inlineStr">
        <is>
          <t>Dataset approved</t>
        </is>
      </c>
      <c r="B4" s="15" t="inlineStr">
        <is>
          <t>Data scientist approval; creates the adjudication sample</t>
        </is>
      </c>
      <c r="C4" s="15" t="inlineStr">
        <is>
          <t>All</t>
        </is>
      </c>
      <c r="D4" s="15" t="inlineStr">
        <is>
          <t>—</t>
        </is>
      </c>
    </row>
    <row r="5" ht="15" customHeight="1" s="11">
      <c r="A5" s="15" t="inlineStr">
        <is>
          <t>All cases final</t>
        </is>
      </c>
      <c r="B5" s="15" t="inlineStr">
        <is>
          <t>No open reads or unresolved disagreements</t>
        </is>
      </c>
      <c r="C5" s="15" t="inlineStr">
        <is>
          <t>All</t>
        </is>
      </c>
      <c r="D5" s="15" t="inlineStr">
        <is>
          <t>—</t>
        </is>
      </c>
    </row>
    <row r="6" ht="15" customHeight="1" s="11">
      <c r="A6" s="15" t="inlineStr">
        <is>
          <t>Inter-reader agreement</t>
        </is>
      </c>
      <c r="B6" s="15" t="inlineStr">
        <is>
          <t>Cohen's κ ≥ 0.6 on ≥10 double reads</t>
        </is>
      </c>
      <c r="C6" s="15" t="inlineStr">
        <is>
          <t>Per outcome</t>
        </is>
      </c>
      <c r="D6" s="15" t="inlineStr">
        <is>
          <t>Lead cardiologist</t>
        </is>
      </c>
    </row>
    <row r="7" ht="15" customHeight="1" s="11">
      <c r="A7" s="15" t="inlineStr">
        <is>
          <t>PPV of auto-confirmed labels</t>
        </is>
      </c>
      <c r="B7" s="15" t="inlineStr">
        <is>
          <t>≥ 85% on 50 random cases</t>
        </is>
      </c>
      <c r="C7" s="15" t="inlineStr">
        <is>
          <t>Per outcome</t>
        </is>
      </c>
      <c r="D7" s="15" t="inlineStr">
        <is>
          <t>Lead cardiologist</t>
        </is>
      </c>
    </row>
    <row r="8" ht="15" customHeight="1" s="11">
      <c r="A8" s="15" t="inlineStr">
        <is>
          <t>NPV of auto-rejected labels</t>
        </is>
      </c>
      <c r="B8" s="15" t="inlineStr">
        <is>
          <t>≥ 85% on 50 random cases</t>
        </is>
      </c>
      <c r="C8" s="15" t="inlineStr">
        <is>
          <t>Per outcome</t>
        </is>
      </c>
      <c r="D8" s="15" t="inlineStr">
        <is>
          <t>Lead cardiologist</t>
        </is>
      </c>
    </row>
    <row r="9" ht="15" customHeight="1" s="11">
      <c r="A9" s="15" t="inlineStr">
        <is>
          <t>Indeterminate cases</t>
        </is>
      </c>
      <c r="B9" s="15" t="inlineStr">
        <is>
          <t>≤ 15% of final cases</t>
        </is>
      </c>
      <c r="C9" s="15" t="inlineStr">
        <is>
          <t>Per outcome</t>
        </is>
      </c>
      <c r="D9" s="15" t="inlineStr">
        <is>
          <t>Lead cardiologist</t>
        </is>
      </c>
    </row>
    <row r="10" ht="15" customHeight="1" s="11">
      <c r="A10" s="15" t="inlineStr">
        <is>
          <t>LVEF / CAC extraction accuracy</t>
        </is>
      </c>
      <c r="B10" s="15" t="inlineStr">
        <is>
          <t>≥ 90% (weighted)</t>
        </is>
      </c>
      <c r="C10" s="15" t="inlineStr">
        <is>
          <t>Per field</t>
        </is>
      </c>
      <c r="D10" s="15" t="inlineStr">
        <is>
          <t>Data scientist</t>
        </is>
      </c>
    </row>
    <row r="11" ht="15" customHeight="1" s="11">
      <c r="A11" s="15" t="inlineStr">
        <is>
          <t>Audit trail intact</t>
        </is>
      </c>
      <c r="B11" s="15" t="inlineStr">
        <is>
          <t>Hash chain verifies end to end</t>
        </is>
      </c>
      <c r="C11" s="15" t="inlineStr">
        <is>
          <t>All</t>
        </is>
      </c>
      <c r="D11" s="15" t="inlineStr">
        <is>
          <t>Cannot be waived</t>
        </is>
      </c>
    </row>
    <row r="12" ht="15" customHeight="1" s="11">
      <c r="A12" s="15" t="inlineStr">
        <is>
          <t>Release sign-offs</t>
        </is>
      </c>
      <c r="B12" s="15" t="inlineStr">
        <is>
          <t>Data scientist + lead cardiologist, two different people</t>
        </is>
      </c>
      <c r="C12" s="15" t="inlineStr">
        <is>
          <t>All</t>
        </is>
      </c>
      <c r="D12" s="15" t="inlineStr">
        <is>
          <t>Cannot be waived</t>
        </is>
      </c>
    </row>
  </sheetData>
  <autoFilter ref="A2:D12"/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10" min="1" max="1"/>
    <col width="18" customWidth="1" style="10" min="2" max="2"/>
    <col width="9" customWidth="1" style="10" min="3" max="3"/>
    <col width="12" customWidth="1" style="10" min="4" max="4"/>
    <col width="11" customWidth="1" style="10" min="5" max="6"/>
    <col width="9" customWidth="1" style="10" min="7" max="7"/>
    <col width="11" customWidth="1" style="10" min="8" max="8"/>
    <col width="12" customWidth="1" style="10" min="9" max="11"/>
    <col width="30" customWidth="1" style="10" min="12" max="12"/>
  </cols>
  <sheetData>
    <row r="1" ht="30" customHeight="1" s="11">
      <c r="A1" s="20" t="inlineStr">
        <is>
          <t>SYNTHETIC DATA WITH SIMULATED ADJUDICATION: pipeline test only, not evidence of clinical performance. Real figures come from VALIDATION_REPORT.md after training on the Mayo Clinic Platform release. 'Meets target' = CI lower bound ≥ target.</t>
        </is>
      </c>
    </row>
    <row r="2" ht="35.05" customHeight="1" s="11">
      <c r="A2" s="14" t="inlineStr">
        <is>
          <t>Calculator</t>
        </is>
      </c>
      <c r="B2" s="14" t="inlineStr">
        <is>
          <t>Endpoint</t>
        </is>
      </c>
      <c r="C2" s="14" t="inlineStr">
        <is>
          <t>Horizon</t>
        </is>
      </c>
      <c r="D2" s="14" t="inlineStr">
        <is>
          <t>Hold-out C-statistic</t>
        </is>
      </c>
      <c r="E2" s="14" t="inlineStr">
        <is>
          <t>95% CI low</t>
        </is>
      </c>
      <c r="F2" s="14" t="inlineStr">
        <is>
          <t>95% CI high</t>
        </is>
      </c>
      <c r="G2" s="14" t="inlineStr">
        <is>
          <t>Target</t>
        </is>
      </c>
      <c r="H2" s="14" t="inlineStr">
        <is>
          <t>Meets target</t>
        </is>
      </c>
      <c r="I2" s="14" t="inlineStr">
        <is>
          <t>Calibration slope</t>
        </is>
      </c>
      <c r="J2" s="14" t="inlineStr">
        <is>
          <t>Expected / observed</t>
        </is>
      </c>
      <c r="K2" s="14" t="inlineStr">
        <is>
          <t>Test patients</t>
        </is>
      </c>
      <c r="L2" s="14" t="inlineStr">
        <is>
          <t>Test events / note</t>
        </is>
      </c>
    </row>
    <row r="3" ht="15" customHeight="1" s="11">
      <c r="A3" s="15" t="inlineStr">
        <is>
          <t>AMI</t>
        </is>
      </c>
      <c r="B3" s="15" t="inlineStr">
        <is>
          <t>ami</t>
        </is>
      </c>
      <c r="C3" s="15" t="inlineStr">
        <is>
          <t>30d</t>
        </is>
      </c>
      <c r="D3" s="22" t="n">
        <v>0.737</v>
      </c>
      <c r="E3" s="22" t="n">
        <v>0.643</v>
      </c>
      <c r="F3" s="22" t="n">
        <v>0.839</v>
      </c>
      <c r="G3" s="22" t="n">
        <v>0.82</v>
      </c>
      <c r="H3" s="15">
        <f>IF(D3="","not trained",IF(E3&gt;=G3,"Yes","No"))</f>
        <v/>
      </c>
      <c r="I3" s="15" t="n">
        <v>0.98</v>
      </c>
      <c r="J3" s="15" t="n">
        <v>1</v>
      </c>
      <c r="K3" s="23" t="n">
        <v>12000</v>
      </c>
      <c r="L3" s="15" t="n">
        <v>26</v>
      </c>
    </row>
    <row r="4" ht="15" customHeight="1" s="11">
      <c r="A4" s="15" t="inlineStr">
        <is>
          <t>AMI</t>
        </is>
      </c>
      <c r="B4" s="15" t="inlineStr">
        <is>
          <t>ami</t>
        </is>
      </c>
      <c r="C4" s="15" t="inlineStr">
        <is>
          <t>1y</t>
        </is>
      </c>
      <c r="D4" s="22" t="n">
        <v>0.82</v>
      </c>
      <c r="E4" s="22" t="n">
        <v>0.789</v>
      </c>
      <c r="F4" s="22" t="n">
        <v>0.847</v>
      </c>
      <c r="G4" s="22" t="n">
        <v>0.82</v>
      </c>
      <c r="H4" s="15">
        <f>IF(D4="","not trained",IF(E4&gt;=G4,"Yes","No"))</f>
        <v/>
      </c>
      <c r="I4" s="15" t="n">
        <v>0.97</v>
      </c>
      <c r="J4" s="15" t="n">
        <v>1.04</v>
      </c>
      <c r="K4" s="23" t="n">
        <v>11351</v>
      </c>
      <c r="L4" s="15" t="n">
        <v>254</v>
      </c>
    </row>
    <row r="5" ht="15" customHeight="1" s="11">
      <c r="A5" s="15" t="inlineStr">
        <is>
          <t>AMI</t>
        </is>
      </c>
      <c r="B5" s="15" t="inlineStr">
        <is>
          <t>ami</t>
        </is>
      </c>
      <c r="C5" s="15" t="inlineStr">
        <is>
          <t>5y</t>
        </is>
      </c>
      <c r="D5" s="22" t="n">
        <v>0.8120000000000001</v>
      </c>
      <c r="E5" s="22" t="n">
        <v>0.794</v>
      </c>
      <c r="F5" s="22" t="n">
        <v>0.828</v>
      </c>
      <c r="G5" s="22" t="n">
        <v>0.82</v>
      </c>
      <c r="H5" s="15">
        <f>IF(D5="","not trained",IF(E5&gt;=G5,"Yes","No"))</f>
        <v/>
      </c>
      <c r="I5" s="15" t="n">
        <v>1.04</v>
      </c>
      <c r="J5" s="15" t="n">
        <v>1.06</v>
      </c>
      <c r="K5" s="23" t="n">
        <v>6928</v>
      </c>
      <c r="L5" s="15" t="n">
        <v>800</v>
      </c>
    </row>
    <row r="6" ht="15" customHeight="1" s="11">
      <c r="A6" s="15" t="inlineStr">
        <is>
          <t>Stroke</t>
        </is>
      </c>
      <c r="B6" s="15" t="inlineStr">
        <is>
          <t>any_stroke</t>
        </is>
      </c>
      <c r="C6" s="15" t="inlineStr">
        <is>
          <t>1y</t>
        </is>
      </c>
      <c r="D6" s="22" t="n">
        <v>0.751</v>
      </c>
      <c r="E6" s="22" t="n">
        <v>0.71</v>
      </c>
      <c r="F6" s="22" t="n">
        <v>0.796</v>
      </c>
      <c r="G6" s="22" t="n">
        <v>0.75</v>
      </c>
      <c r="H6" s="15">
        <f>IF(D6="","not trained",IF(E6&gt;=G6,"Yes","No"))</f>
        <v/>
      </c>
      <c r="I6" s="15" t="n">
        <v>0.89</v>
      </c>
      <c r="J6" s="15" t="n">
        <v>1.03</v>
      </c>
      <c r="K6" s="23" t="n">
        <v>11342</v>
      </c>
      <c r="L6" s="15" t="n">
        <v>144</v>
      </c>
    </row>
    <row r="7" ht="15" customHeight="1" s="11">
      <c r="A7" s="15" t="inlineStr">
        <is>
          <t>Stroke</t>
        </is>
      </c>
      <c r="B7" s="15" t="inlineStr">
        <is>
          <t>any_stroke</t>
        </is>
      </c>
      <c r="C7" s="15" t="inlineStr">
        <is>
          <t>5y</t>
        </is>
      </c>
      <c r="D7" s="22" t="n">
        <v>0.747</v>
      </c>
      <c r="E7" s="22" t="n">
        <v>0.727</v>
      </c>
      <c r="F7" s="22" t="n">
        <v>0.767</v>
      </c>
      <c r="G7" s="22" t="n">
        <v>0.75</v>
      </c>
      <c r="H7" s="15">
        <f>IF(D7="","not trained",IF(E7&gt;=G7,"Yes","No"))</f>
        <v/>
      </c>
      <c r="I7" s="15" t="n">
        <v>0.88</v>
      </c>
      <c r="J7" s="15" t="n">
        <v>1.01</v>
      </c>
      <c r="K7" s="23" t="n">
        <v>6815</v>
      </c>
      <c r="L7" s="15" t="n">
        <v>531</v>
      </c>
    </row>
    <row r="8" ht="15" customHeight="1" s="11">
      <c r="A8" s="15" t="inlineStr">
        <is>
          <t>Stroke</t>
        </is>
      </c>
      <c r="B8" s="15" t="inlineStr">
        <is>
          <t>ischemic_stroke</t>
        </is>
      </c>
      <c r="C8" s="15" t="inlineStr">
        <is>
          <t>1y</t>
        </is>
      </c>
      <c r="D8" s="22" t="n">
        <v>0.735</v>
      </c>
      <c r="E8" s="22" t="n">
        <v>0.697</v>
      </c>
      <c r="F8" s="22" t="n">
        <v>0.777</v>
      </c>
      <c r="G8" s="22" t="n">
        <v>0.75</v>
      </c>
      <c r="H8" s="15">
        <f>IF(D8="","not trained",IF(E8&gt;=G8,"Yes","No"))</f>
        <v/>
      </c>
      <c r="I8" s="15" t="n">
        <v>0.79</v>
      </c>
      <c r="J8" s="15" t="n">
        <v>1.02</v>
      </c>
      <c r="K8" s="23" t="n">
        <v>11341</v>
      </c>
      <c r="L8" s="15" t="n">
        <v>111</v>
      </c>
    </row>
    <row r="9" ht="15" customHeight="1" s="11">
      <c r="A9" s="15" t="inlineStr">
        <is>
          <t>Stroke</t>
        </is>
      </c>
      <c r="B9" s="15" t="inlineStr">
        <is>
          <t>ischemic_stroke</t>
        </is>
      </c>
      <c r="C9" s="15" t="inlineStr">
        <is>
          <t>5y</t>
        </is>
      </c>
      <c r="D9" s="22" t="n">
        <v>0.74</v>
      </c>
      <c r="E9" s="22" t="n">
        <v>0.72</v>
      </c>
      <c r="F9" s="22" t="n">
        <v>0.768</v>
      </c>
      <c r="G9" s="22" t="n">
        <v>0.75</v>
      </c>
      <c r="H9" s="15">
        <f>IF(D9="","not trained",IF(E9&gt;=G9,"Yes","No"))</f>
        <v/>
      </c>
      <c r="I9" s="15" t="n">
        <v>0.86</v>
      </c>
      <c r="J9" s="15" t="n">
        <v>0.98</v>
      </c>
      <c r="K9" s="23" t="n">
        <v>6775</v>
      </c>
      <c r="L9" s="15" t="n">
        <v>405</v>
      </c>
    </row>
    <row r="10" ht="15" customHeight="1" s="11">
      <c r="A10" s="15" t="inlineStr">
        <is>
          <t>Stroke</t>
        </is>
      </c>
      <c r="B10" s="15" t="inlineStr">
        <is>
          <t>hemorrhagic_stroke</t>
        </is>
      </c>
      <c r="C10" s="15" t="inlineStr">
        <is>
          <t>5y</t>
        </is>
      </c>
      <c r="D10" s="22" t="n">
        <v>0.696</v>
      </c>
      <c r="E10" s="22" t="n">
        <v>0.593</v>
      </c>
      <c r="F10" s="22" t="n">
        <v>0.779</v>
      </c>
      <c r="G10" s="22" t="n">
        <v>0.75</v>
      </c>
      <c r="H10" s="15">
        <f>IF(D10="","not trained",IF(E10&gt;=G10,"Yes","No"))</f>
        <v/>
      </c>
      <c r="I10" s="15" t="n">
        <v>0.99</v>
      </c>
      <c r="J10" s="15" t="n">
        <v>1.09</v>
      </c>
      <c r="K10" s="23" t="n">
        <v>6650</v>
      </c>
      <c r="L10" s="15" t="n">
        <v>28</v>
      </c>
    </row>
    <row r="11" ht="15" customHeight="1" s="11">
      <c r="A11" s="15" t="inlineStr">
        <is>
          <t>Stroke</t>
        </is>
      </c>
      <c r="B11" s="15" t="inlineStr">
        <is>
          <t>tia</t>
        </is>
      </c>
      <c r="C11" s="15" t="inlineStr">
        <is>
          <t>1y</t>
        </is>
      </c>
      <c r="D11" s="22" t="n">
        <v>0.735</v>
      </c>
      <c r="E11" s="22" t="n">
        <v>0.629</v>
      </c>
      <c r="F11" s="22" t="n">
        <v>0.858</v>
      </c>
      <c r="G11" s="22" t="n">
        <v>0.75</v>
      </c>
      <c r="H11" s="15">
        <f>IF(D11="","not trained",IF(E11&gt;=G11,"Yes","No"))</f>
        <v/>
      </c>
      <c r="I11" s="15" t="n">
        <v>1</v>
      </c>
      <c r="J11" s="15" t="n">
        <v>1.16</v>
      </c>
      <c r="K11" s="23" t="n">
        <v>11337</v>
      </c>
      <c r="L11" s="15" t="n">
        <v>24</v>
      </c>
    </row>
    <row r="12" ht="15" customHeight="1" s="11">
      <c r="A12" s="15" t="inlineStr">
        <is>
          <t>Stroke</t>
        </is>
      </c>
      <c r="B12" s="15" t="inlineStr">
        <is>
          <t>tia</t>
        </is>
      </c>
      <c r="C12" s="15" t="inlineStr">
        <is>
          <t>5y</t>
        </is>
      </c>
      <c r="D12" s="22" t="n">
        <v>0.6889999999999999</v>
      </c>
      <c r="E12" s="22" t="n">
        <v>0.637</v>
      </c>
      <c r="F12" s="22" t="n">
        <v>0.729</v>
      </c>
      <c r="G12" s="22" t="n">
        <v>0.75</v>
      </c>
      <c r="H12" s="15">
        <f>IF(D12="","not trained",IF(E12&gt;=G12,"Yes","No"))</f>
        <v/>
      </c>
      <c r="I12" s="15" t="n">
        <v>1.27</v>
      </c>
      <c r="J12" s="15" t="n">
        <v>1.1</v>
      </c>
      <c r="K12" s="23" t="n">
        <v>6676</v>
      </c>
      <c r="L12" s="15" t="n">
        <v>98</v>
      </c>
    </row>
    <row r="13" ht="15" customHeight="1" s="11">
      <c r="A13" s="15" t="inlineStr">
        <is>
          <t>Heart failure</t>
        </is>
      </c>
      <c r="B13" s="15" t="inlineStr">
        <is>
          <t>hf</t>
        </is>
      </c>
      <c r="C13" s="15" t="inlineStr">
        <is>
          <t>30d</t>
        </is>
      </c>
      <c r="D13" s="22" t="n">
        <v>0.919</v>
      </c>
      <c r="E13" s="22" t="n">
        <v>0.878</v>
      </c>
      <c r="F13" s="22" t="n">
        <v>0.954</v>
      </c>
      <c r="G13" s="22" t="n">
        <v>0.8</v>
      </c>
      <c r="H13" s="15">
        <f>IF(D13="","not trained",IF(E13&gt;=G13,"Yes","No"))</f>
        <v/>
      </c>
      <c r="I13" s="15" t="n">
        <v>1.18</v>
      </c>
      <c r="J13" s="15" t="n">
        <v>0.8</v>
      </c>
      <c r="K13" s="23" t="n">
        <v>12000</v>
      </c>
      <c r="L13" s="15" t="n">
        <v>34</v>
      </c>
    </row>
    <row r="14" ht="15" customHeight="1" s="11">
      <c r="A14" s="15" t="inlineStr">
        <is>
          <t>Heart failure</t>
        </is>
      </c>
      <c r="B14" s="15" t="inlineStr">
        <is>
          <t>hf</t>
        </is>
      </c>
      <c r="C14" s="15" t="inlineStr">
        <is>
          <t>1y</t>
        </is>
      </c>
      <c r="D14" s="22" t="n">
        <v>0.876</v>
      </c>
      <c r="E14" s="22" t="n">
        <v>0.857</v>
      </c>
      <c r="F14" s="22" t="n">
        <v>0.894</v>
      </c>
      <c r="G14" s="22" t="n">
        <v>0.8</v>
      </c>
      <c r="H14" s="15">
        <f>IF(D14="","not trained",IF(E14&gt;=G14,"Yes","No"))</f>
        <v/>
      </c>
      <c r="I14" s="15" t="n">
        <v>1.02</v>
      </c>
      <c r="J14" s="15" t="n">
        <v>0.96</v>
      </c>
      <c r="K14" s="23" t="n">
        <v>11347</v>
      </c>
      <c r="L14" s="15" t="n">
        <v>313</v>
      </c>
    </row>
    <row r="15" ht="15" customHeight="1" s="11">
      <c r="A15" s="15" t="inlineStr">
        <is>
          <t>Heart failure</t>
        </is>
      </c>
      <c r="B15" s="15" t="inlineStr">
        <is>
          <t>hf</t>
        </is>
      </c>
      <c r="C15" s="15" t="inlineStr">
        <is>
          <t>5y</t>
        </is>
      </c>
      <c r="D15" s="22" t="n">
        <v>0.845</v>
      </c>
      <c r="E15" s="22" t="n">
        <v>0.828</v>
      </c>
      <c r="F15" s="22" t="n">
        <v>0.859</v>
      </c>
      <c r="G15" s="22" t="n">
        <v>0.8</v>
      </c>
      <c r="H15" s="15">
        <f>IF(D15="","not trained",IF(E15&gt;=G15,"Yes","No"))</f>
        <v/>
      </c>
      <c r="I15" s="15" t="n">
        <v>0.98</v>
      </c>
      <c r="J15" s="15" t="n">
        <v>0.99</v>
      </c>
      <c r="K15" s="23" t="n">
        <v>6903</v>
      </c>
      <c r="L15" s="15" t="n">
        <v>843</v>
      </c>
    </row>
    <row r="16" ht="15" customHeight="1" s="11">
      <c r="A16" s="15" t="inlineStr">
        <is>
          <t>Heart failure</t>
        </is>
      </c>
      <c r="B16" s="15" t="inlineStr">
        <is>
          <t>hfref</t>
        </is>
      </c>
      <c r="C16" s="15" t="inlineStr">
        <is>
          <t>30d</t>
        </is>
      </c>
      <c r="D16" s="22" t="n">
        <v>0.894</v>
      </c>
      <c r="E16" s="22" t="n">
        <v>0.821</v>
      </c>
      <c r="F16" s="22" t="n">
        <v>0.959</v>
      </c>
      <c r="G16" s="22" t="n">
        <v>0.8</v>
      </c>
      <c r="H16" s="15">
        <f>IF(D16="","not trained",IF(E16&gt;=G16,"Yes","No"))</f>
        <v/>
      </c>
      <c r="I16" s="15" t="n">
        <v>1.13</v>
      </c>
      <c r="J16" s="15" t="n">
        <v>0.72</v>
      </c>
      <c r="K16" s="23" t="n">
        <v>11998</v>
      </c>
      <c r="L16" s="15" t="n">
        <v>23</v>
      </c>
    </row>
    <row r="17" ht="15" customHeight="1" s="11">
      <c r="A17" s="15" t="inlineStr">
        <is>
          <t>Heart failure</t>
        </is>
      </c>
      <c r="B17" s="15" t="inlineStr">
        <is>
          <t>hfref</t>
        </is>
      </c>
      <c r="C17" s="15" t="inlineStr">
        <is>
          <t>1y</t>
        </is>
      </c>
      <c r="D17" s="22" t="n">
        <v>0.903</v>
      </c>
      <c r="E17" s="22" t="n">
        <v>0.879</v>
      </c>
      <c r="F17" s="22" t="n">
        <v>0.924</v>
      </c>
      <c r="G17" s="22" t="n">
        <v>0.8</v>
      </c>
      <c r="H17" s="15">
        <f>IF(D17="","not trained",IF(E17&gt;=G17,"Yes","No"))</f>
        <v/>
      </c>
      <c r="I17" s="15" t="n">
        <v>1.1</v>
      </c>
      <c r="J17" s="15" t="n">
        <v>0.97</v>
      </c>
      <c r="K17" s="23" t="n">
        <v>11327</v>
      </c>
      <c r="L17" s="15" t="n">
        <v>177</v>
      </c>
    </row>
    <row r="18" ht="15" customHeight="1" s="11">
      <c r="A18" s="15" t="inlineStr">
        <is>
          <t>Heart failure</t>
        </is>
      </c>
      <c r="B18" s="15" t="inlineStr">
        <is>
          <t>hfref</t>
        </is>
      </c>
      <c r="C18" s="15" t="inlineStr">
        <is>
          <t>5y</t>
        </is>
      </c>
      <c r="D18" s="22" t="n">
        <v>0.863</v>
      </c>
      <c r="E18" s="22" t="n">
        <v>0.844</v>
      </c>
      <c r="F18" s="22" t="n">
        <v>0.882</v>
      </c>
      <c r="G18" s="22" t="n">
        <v>0.8</v>
      </c>
      <c r="H18" s="15">
        <f>IF(D18="","not trained",IF(E18&gt;=G18,"Yes","No"))</f>
        <v/>
      </c>
      <c r="I18" s="15" t="n">
        <v>1</v>
      </c>
      <c r="J18" s="15" t="n">
        <v>0.98</v>
      </c>
      <c r="K18" s="23" t="n">
        <v>6760</v>
      </c>
      <c r="L18" s="15" t="n">
        <v>455</v>
      </c>
    </row>
    <row r="19" ht="15" customHeight="1" s="11">
      <c r="A19" s="15" t="inlineStr">
        <is>
          <t>Heart failure</t>
        </is>
      </c>
      <c r="B19" s="15" t="inlineStr">
        <is>
          <t>hfpef</t>
        </is>
      </c>
      <c r="C19" s="15" t="inlineStr">
        <is>
          <t>1y</t>
        </is>
      </c>
      <c r="D19" s="22" t="n">
        <v>0.793</v>
      </c>
      <c r="E19" s="22" t="n">
        <v>0.744</v>
      </c>
      <c r="F19" s="22" t="n">
        <v>0.834</v>
      </c>
      <c r="G19" s="22" t="n">
        <v>0.8</v>
      </c>
      <c r="H19" s="15">
        <f>IF(D19="","not trained",IF(E19&gt;=G19,"Yes","No"))</f>
        <v/>
      </c>
      <c r="I19" s="15" t="n">
        <v>1.09</v>
      </c>
      <c r="J19" s="15" t="n">
        <v>0.97</v>
      </c>
      <c r="K19" s="23" t="n">
        <v>11325</v>
      </c>
      <c r="L19" s="15" t="n">
        <v>91</v>
      </c>
    </row>
    <row r="20" ht="15" customHeight="1" s="11">
      <c r="A20" s="15" t="inlineStr">
        <is>
          <t>Heart failure</t>
        </is>
      </c>
      <c r="B20" s="15" t="inlineStr">
        <is>
          <t>hfpef</t>
        </is>
      </c>
      <c r="C20" s="15" t="inlineStr">
        <is>
          <t>5y</t>
        </is>
      </c>
      <c r="D20" s="22" t="n">
        <v>0.777</v>
      </c>
      <c r="E20" s="22" t="n">
        <v>0.751</v>
      </c>
      <c r="F20" s="22" t="n">
        <v>0.805</v>
      </c>
      <c r="G20" s="22" t="n">
        <v>0.8</v>
      </c>
      <c r="H20" s="15">
        <f>IF(D20="","not trained",IF(E20&gt;=G20,"Yes","No"))</f>
        <v/>
      </c>
      <c r="I20" s="15" t="n">
        <v>0.97</v>
      </c>
      <c r="J20" s="15" t="n">
        <v>0.98</v>
      </c>
      <c r="K20" s="23" t="n">
        <v>6703</v>
      </c>
      <c r="L20" s="15" t="n">
        <v>289</v>
      </c>
    </row>
    <row r="21" ht="15" customHeight="1" s="11">
      <c r="A21" s="15" t="inlineStr">
        <is>
          <t>SCD</t>
        </is>
      </c>
      <c r="B21" s="15" t="inlineStr">
        <is>
          <t>scd</t>
        </is>
      </c>
      <c r="C21" s="15" t="inlineStr">
        <is>
          <t>1y</t>
        </is>
      </c>
      <c r="D21" s="22" t="n">
        <v>0.841</v>
      </c>
      <c r="E21" s="22" t="n">
        <v>0.774</v>
      </c>
      <c r="F21" s="22" t="n">
        <v>0.889</v>
      </c>
      <c r="G21" s="22" t="n">
        <v>0.78</v>
      </c>
      <c r="H21" s="15">
        <f>IF(D21="","not trained",IF(E21&gt;=G21,"Yes","No"))</f>
        <v/>
      </c>
      <c r="I21" s="15" t="n">
        <v>1.15</v>
      </c>
      <c r="J21" s="15" t="n">
        <v>0.99</v>
      </c>
      <c r="K21" s="23" t="n">
        <v>11345</v>
      </c>
      <c r="L21" s="15" t="n">
        <v>46</v>
      </c>
    </row>
    <row r="22" ht="15" customHeight="1" s="11">
      <c r="A22" s="15" t="inlineStr">
        <is>
          <t>SCD</t>
        </is>
      </c>
      <c r="B22" s="15" t="inlineStr">
        <is>
          <t>scd</t>
        </is>
      </c>
      <c r="C22" s="15" t="inlineStr">
        <is>
          <t>5y</t>
        </is>
      </c>
      <c r="D22" s="22" t="n">
        <v>0.782</v>
      </c>
      <c r="E22" s="22" t="n">
        <v>0.745</v>
      </c>
      <c r="F22" s="22" t="n">
        <v>0.824</v>
      </c>
      <c r="G22" s="22" t="n">
        <v>0.78</v>
      </c>
      <c r="H22" s="15">
        <f>IF(D22="","not trained",IF(E22&gt;=G22,"Yes","No"))</f>
        <v/>
      </c>
      <c r="I22" s="15" t="n">
        <v>0.96</v>
      </c>
      <c r="J22" s="15" t="n">
        <v>1.02</v>
      </c>
      <c r="K22" s="23" t="n">
        <v>6708</v>
      </c>
      <c r="L22" s="15" t="n">
        <v>150</v>
      </c>
    </row>
    <row r="23" ht="15" customHeight="1" s="11">
      <c r="A23" s="15" t="inlineStr">
        <is>
          <t>AF</t>
        </is>
      </c>
      <c r="B23" s="15" t="inlineStr">
        <is>
          <t>af</t>
        </is>
      </c>
      <c r="C23" s="15" t="inlineStr">
        <is>
          <t>30d</t>
        </is>
      </c>
      <c r="D23" s="22" t="n">
        <v>0.757</v>
      </c>
      <c r="E23" s="22" t="n">
        <v>0.628</v>
      </c>
      <c r="F23" s="22" t="n">
        <v>0.877</v>
      </c>
      <c r="G23" s="22" t="n">
        <v>0.8</v>
      </c>
      <c r="H23" s="15">
        <f>IF(D23="","not trained",IF(E23&gt;=G23,"Yes","No"))</f>
        <v/>
      </c>
      <c r="I23" s="15" t="n">
        <v>1.03</v>
      </c>
      <c r="J23" s="15" t="n">
        <v>1.34</v>
      </c>
      <c r="K23" s="23" t="n">
        <v>11567</v>
      </c>
      <c r="L23" s="15" t="n">
        <v>20</v>
      </c>
    </row>
    <row r="24" ht="15" customHeight="1" s="11">
      <c r="A24" s="15" t="inlineStr">
        <is>
          <t>AF</t>
        </is>
      </c>
      <c r="B24" s="15" t="inlineStr">
        <is>
          <t>af</t>
        </is>
      </c>
      <c r="C24" s="15" t="inlineStr">
        <is>
          <t>1y</t>
        </is>
      </c>
      <c r="D24" s="22" t="n">
        <v>0.8149999999999999</v>
      </c>
      <c r="E24" s="22" t="n">
        <v>0.789</v>
      </c>
      <c r="F24" s="22" t="n">
        <v>0.837</v>
      </c>
      <c r="G24" s="22" t="n">
        <v>0.8</v>
      </c>
      <c r="H24" s="15">
        <f>IF(D24="","not trained",IF(E24&gt;=G24,"Yes","No"))</f>
        <v/>
      </c>
      <c r="I24" s="15" t="n">
        <v>1.07</v>
      </c>
      <c r="J24" s="15" t="n">
        <v>0.99</v>
      </c>
      <c r="K24" s="23" t="n">
        <v>10925</v>
      </c>
      <c r="L24" s="15" t="n">
        <v>297</v>
      </c>
    </row>
    <row r="25" ht="15" customHeight="1" s="11">
      <c r="A25" s="15" t="inlineStr">
        <is>
          <t>AF</t>
        </is>
      </c>
      <c r="B25" s="15" t="inlineStr">
        <is>
          <t>af</t>
        </is>
      </c>
      <c r="C25" s="15" t="inlineStr">
        <is>
          <t>5y</t>
        </is>
      </c>
      <c r="D25" s="22" t="n">
        <v>0.801</v>
      </c>
      <c r="E25" s="22" t="n">
        <v>0.79</v>
      </c>
      <c r="F25" s="22" t="n">
        <v>0.8169999999999999</v>
      </c>
      <c r="G25" s="22" t="n">
        <v>0.8</v>
      </c>
      <c r="H25" s="15">
        <f>IF(D25="","not trained",IF(E25&gt;=G25,"Yes","No"))</f>
        <v/>
      </c>
      <c r="I25" s="15" t="n">
        <v>1.02</v>
      </c>
      <c r="J25" s="15" t="n">
        <v>0.98</v>
      </c>
      <c r="K25" s="23" t="n">
        <v>6677</v>
      </c>
      <c r="L25" s="15" t="n">
        <v>959</v>
      </c>
    </row>
    <row r="26" ht="23.85" customHeight="1" s="11">
      <c r="A26" s="15" t="inlineStr">
        <is>
          <t>Stroke</t>
        </is>
      </c>
      <c r="B26" s="15" t="inlineStr">
        <is>
          <t>any_stroke</t>
        </is>
      </c>
      <c r="C26" s="15" t="inlineStr">
        <is>
          <t>30d</t>
        </is>
      </c>
      <c r="D26" s="22" t="n"/>
      <c r="E26" s="22" t="n"/>
      <c r="F26" s="22" t="n"/>
      <c r="G26" s="22" t="n">
        <v>0.75</v>
      </c>
      <c r="H26" s="15">
        <f>IF(D26="","not trained",IF(E26&gt;=G26,"Yes","No"))</f>
        <v/>
      </c>
      <c r="I26" s="15" t="n"/>
      <c r="J26" s="15" t="n"/>
      <c r="K26" s="23" t="n"/>
      <c r="L26" s="15" t="inlineStr">
        <is>
          <t>insufficient events (train 52, test &lt;11)</t>
        </is>
      </c>
    </row>
    <row r="27" ht="23.85" customHeight="1" s="11">
      <c r="A27" s="15" t="inlineStr">
        <is>
          <t>Stroke</t>
        </is>
      </c>
      <c r="B27" s="15" t="inlineStr">
        <is>
          <t>ischemic_stroke</t>
        </is>
      </c>
      <c r="C27" s="15" t="inlineStr">
        <is>
          <t>30d</t>
        </is>
      </c>
      <c r="D27" s="22" t="n"/>
      <c r="E27" s="22" t="n"/>
      <c r="F27" s="22" t="n"/>
      <c r="G27" s="22" t="n">
        <v>0.75</v>
      </c>
      <c r="H27" s="15">
        <f>IF(D27="","not trained",IF(E27&gt;=G27,"Yes","No"))</f>
        <v/>
      </c>
      <c r="I27" s="15" t="n"/>
      <c r="J27" s="15" t="n"/>
      <c r="K27" s="23" t="n"/>
      <c r="L27" s="15" t="inlineStr">
        <is>
          <t>insufficient events (train 41, test &lt;11)</t>
        </is>
      </c>
    </row>
    <row r="28" ht="23.85" customHeight="1" s="11">
      <c r="A28" s="15" t="inlineStr">
        <is>
          <t>Stroke</t>
        </is>
      </c>
      <c r="B28" s="15" t="inlineStr">
        <is>
          <t>hemorrhagic_stroke</t>
        </is>
      </c>
      <c r="C28" s="15" t="inlineStr">
        <is>
          <t>30d</t>
        </is>
      </c>
      <c r="D28" s="22" t="n"/>
      <c r="E28" s="22" t="n"/>
      <c r="F28" s="22" t="n"/>
      <c r="G28" s="22" t="n">
        <v>0.75</v>
      </c>
      <c r="H28" s="15">
        <f>IF(D28="","not trained",IF(E28&gt;=G28,"Yes","No"))</f>
        <v/>
      </c>
      <c r="I28" s="15" t="n"/>
      <c r="J28" s="15" t="n"/>
      <c r="K28" s="23" t="n"/>
      <c r="L28" s="15" t="inlineStr">
        <is>
          <t>insufficient events (train &lt;11, test &lt;11)</t>
        </is>
      </c>
    </row>
    <row r="29" ht="23.85" customHeight="1" s="11">
      <c r="A29" s="15" t="inlineStr">
        <is>
          <t>Stroke</t>
        </is>
      </c>
      <c r="B29" s="15" t="inlineStr">
        <is>
          <t>hemorrhagic_stroke</t>
        </is>
      </c>
      <c r="C29" s="15" t="inlineStr">
        <is>
          <t>1y</t>
        </is>
      </c>
      <c r="D29" s="22" t="n"/>
      <c r="E29" s="22" t="n"/>
      <c r="F29" s="22" t="n"/>
      <c r="G29" s="22" t="n">
        <v>0.75</v>
      </c>
      <c r="H29" s="15">
        <f>IF(D29="","not trained",IF(E29&gt;=G29,"Yes","No"))</f>
        <v/>
      </c>
      <c r="I29" s="15" t="n"/>
      <c r="J29" s="15" t="n"/>
      <c r="K29" s="23" t="n"/>
      <c r="L29" s="15" t="inlineStr">
        <is>
          <t>insufficient events (train 28, test &lt;11)</t>
        </is>
      </c>
    </row>
    <row r="30" ht="23.85" customHeight="1" s="11">
      <c r="A30" s="15" t="inlineStr">
        <is>
          <t>Stroke</t>
        </is>
      </c>
      <c r="B30" s="15" t="inlineStr">
        <is>
          <t>tia</t>
        </is>
      </c>
      <c r="C30" s="15" t="inlineStr">
        <is>
          <t>30d</t>
        </is>
      </c>
      <c r="D30" s="22" t="n"/>
      <c r="E30" s="22" t="n"/>
      <c r="F30" s="22" t="n"/>
      <c r="G30" s="22" t="n">
        <v>0.75</v>
      </c>
      <c r="H30" s="15">
        <f>IF(D30="","not trained",IF(E30&gt;=G30,"Yes","No"))</f>
        <v/>
      </c>
      <c r="I30" s="15" t="n"/>
      <c r="J30" s="15" t="n"/>
      <c r="K30" s="23" t="n"/>
      <c r="L30" s="15" t="inlineStr">
        <is>
          <t>insufficient events (train &lt;11, test &lt;11)</t>
        </is>
      </c>
    </row>
    <row r="31" ht="23.85" customHeight="1" s="11">
      <c r="A31" s="15" t="inlineStr">
        <is>
          <t>Heart failure</t>
        </is>
      </c>
      <c r="B31" s="15" t="inlineStr">
        <is>
          <t>hfpef</t>
        </is>
      </c>
      <c r="C31" s="15" t="inlineStr">
        <is>
          <t>30d</t>
        </is>
      </c>
      <c r="D31" s="22" t="n"/>
      <c r="E31" s="22" t="n"/>
      <c r="F31" s="22" t="n"/>
      <c r="G31" s="22" t="n">
        <v>0.8</v>
      </c>
      <c r="H31" s="15">
        <f>IF(D31="","not trained",IF(E31&gt;=G31,"Yes","No"))</f>
        <v/>
      </c>
      <c r="I31" s="15" t="n"/>
      <c r="J31" s="15" t="n"/>
      <c r="K31" s="23" t="n"/>
      <c r="L31" s="15" t="inlineStr">
        <is>
          <t>insufficient events (train 27, test &lt;11)</t>
        </is>
      </c>
    </row>
    <row r="32" ht="23.85" customHeight="1" s="11">
      <c r="A32" s="15" t="inlineStr">
        <is>
          <t>SCD</t>
        </is>
      </c>
      <c r="B32" s="15" t="inlineStr">
        <is>
          <t>scd</t>
        </is>
      </c>
      <c r="C32" s="15" t="inlineStr">
        <is>
          <t>30d</t>
        </is>
      </c>
      <c r="D32" s="22" t="n"/>
      <c r="E32" s="22" t="n"/>
      <c r="F32" s="22" t="n"/>
      <c r="G32" s="22" t="n">
        <v>0.78</v>
      </c>
      <c r="H32" s="15">
        <f>IF(D32="","not trained",IF(E32&gt;=G32,"Yes","No"))</f>
        <v/>
      </c>
      <c r="I32" s="15" t="n"/>
      <c r="J32" s="15" t="n"/>
      <c r="K32" s="23" t="n"/>
      <c r="L32" s="15" t="inlineStr">
        <is>
          <t>insufficient events (train 14, test &lt;11)</t>
        </is>
      </c>
    </row>
  </sheetData>
  <autoFilter ref="A2:L32"/>
  <mergeCells count="1"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2026-10-19T15:55:20Z</dcterms:created>
  <dcterms:modified xmlns:dcterms="http://purl.org/dc/terms/" xmlns:xsi="http://www.w3.org/2001/XMLSchema-instance" xsi:type="dcterms:W3CDTF">2026-10-21T16:51:29Z</dcterms:modified>
  <cp:revision>0</cp:revision>
</cp:coreProperties>
</file>