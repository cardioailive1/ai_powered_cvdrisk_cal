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Eligibility" sheetId="2" state="visible" r:id="rId2"/>
    <sheet xmlns:r="http://schemas.openxmlformats.org/officeDocument/2006/relationships" name="MCP open items" sheetId="3" state="visible" r:id="rId3"/>
    <sheet xmlns:r="http://schemas.openxmlformats.org/officeDocument/2006/relationships" name="Endpoints" sheetId="4" state="visible" r:id="rId4"/>
    <sheet xmlns:r="http://schemas.openxmlformats.org/officeDocument/2006/relationships" name="Inputs" sheetId="5" state="visible" r:id="rId5"/>
    <sheet xmlns:r="http://schemas.openxmlformats.org/officeDocument/2006/relationships" name="Outputs" sheetId="6" state="visible" r:id="rId6"/>
    <sheet xmlns:r="http://schemas.openxmlformats.org/officeDocument/2006/relationships" name="Auto-labelling" sheetId="7" state="visible" r:id="rId7"/>
    <sheet xmlns:r="http://schemas.openxmlformats.org/officeDocument/2006/relationships" name="Annotation" sheetId="8" state="visible" r:id="rId8"/>
    <sheet xmlns:r="http://schemas.openxmlformats.org/officeDocument/2006/relationships" name="Automatic audit" sheetId="9" state="visible" r:id="rId9"/>
    <sheet xmlns:r="http://schemas.openxmlformats.org/officeDocument/2006/relationships" name="Release gates" sheetId="10" state="visible" r:id="rId10"/>
    <sheet xmlns:r="http://schemas.openxmlformats.org/officeDocument/2006/relationships" name="Demo validation" sheetId="11" state="visible" r:id="rId11"/>
  </sheets>
  <definedNames>
    <definedName name="_xlnm._FilterDatabase" localSheetId="3" hidden="1">'Endpoints'!$A$2:$I$12</definedName>
    <definedName name="_xlnm._FilterDatabase" localSheetId="4" hidden="1">'Inputs'!$A$2:$N$35</definedName>
    <definedName name="_xlnm._FilterDatabase" localSheetId="5" hidden="1">'Outputs'!$A$2:$E$43</definedName>
    <definedName name="_xlnm._FilterDatabase" localSheetId="6" hidden="1">'Auto-labelling'!$A$2:$F$42</definedName>
    <definedName name="_xlnm._FilterDatabase" localSheetId="7" hidden="1">'Annotation'!$A$2:$D$17</definedName>
    <definedName name="_xlnm._FilterDatabase" localSheetId="8" hidden="1">'Automatic audit'!$A$2:$E$24</definedName>
    <definedName name="_xlnm._FilterDatabase" localSheetId="9" hidden="1">'Release gates'!$A$2:$D$12</definedName>
    <definedName name="_xlnm._FilterDatabase" localSheetId="10" hidden="1">'Demo validation'!$A$2:$L$32</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i val="1"/>
      <color rgb="FF44546A"/>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1F3A5F"/>
        <bgColor rgb="FF333333"/>
      </patternFill>
    </fill>
  </fills>
  <borders count="3">
    <border>
      <left/>
      <right/>
      <top/>
      <bottom/>
      <diagonal/>
    </border>
    <border>
      <left/>
      <right/>
      <top/>
      <bottom style="thin">
        <color rgb="FFC9D3DE"/>
      </bottom>
      <diagonal/>
    </border>
    <border>
      <bottom style="thin">
        <color rgb="00D9DEE5"/>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2" fontId="7" fillId="0" borderId="1" applyAlignment="1" pivotButton="0" quotePrefix="0" xfId="0">
      <alignment horizontal="general" vertical="top" wrapText="1"/>
    </xf>
    <xf numFmtId="0" fontId="5" fillId="0" borderId="0" applyAlignment="1" pivotButton="0" quotePrefix="0" xfId="0">
      <alignment horizontal="general" vertical="top" wrapText="1"/>
    </xf>
    <xf numFmtId="164" fontId="7" fillId="0" borderId="1" applyAlignment="1" pivotButton="0" quotePrefix="0" xfId="0">
      <alignment horizontal="general" vertical="top" wrapText="1"/>
    </xf>
    <xf numFmtId="165" fontId="7" fillId="0" borderId="1" applyAlignment="1" pivotButton="0" quotePrefix="0" xfId="0">
      <alignment horizontal="general" vertical="top" wrapText="1"/>
    </xf>
    <xf numFmtId="3"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2" fontId="7" fillId="0" borderId="1" applyAlignment="1" pivotButton="0" quotePrefix="0" xfId="0">
      <alignment horizontal="general" vertical="top" wrapText="1"/>
    </xf>
    <xf numFmtId="0" fontId="5" fillId="0" borderId="0" pivotButton="0" quotePrefix="0" xfId="0"/>
    <xf numFmtId="0" fontId="6" fillId="2" borderId="0" applyAlignment="1" pivotButton="0" quotePrefix="0" xfId="0">
      <alignment vertical="center" wrapText="1"/>
    </xf>
    <xf numFmtId="0" fontId="0" fillId="0" borderId="2" applyAlignment="1" pivotButton="0" quotePrefix="0" xfId="0">
      <alignment vertical="top" wrapText="1"/>
    </xf>
    <xf numFmtId="0" fontId="5" fillId="0" borderId="0" applyAlignment="1" pivotButton="0" quotePrefix="0" xfId="0">
      <alignment horizontal="general" vertical="top" wrapText="1"/>
    </xf>
    <xf numFmtId="164" fontId="7" fillId="0" borderId="1" applyAlignment="1" pivotButton="0" quotePrefix="0" xfId="0">
      <alignment horizontal="general" vertical="top" wrapText="1"/>
    </xf>
    <xf numFmtId="165" fontId="7" fillId="0" borderId="1" applyAlignment="1" pivotButton="0" quotePrefix="0" xfId="0">
      <alignment horizontal="general" vertical="top" wrapText="1"/>
    </xf>
    <xf numFmtId="3" fontId="7" fillId="0" borderId="1" applyAlignment="1" pivotButton="0" quotePrefix="0" xfId="0">
      <alignment horizontal="general" vertical="top" wrapText="1"/>
    </xf>
    <xf numFmtId="0" fontId="5" fillId="0" borderId="0" applyAlignment="1" pivotButton="0" quotePrefix="0" xfId="0">
      <alignment vertical="top" wrapText="1"/>
    </xf>
    <xf numFmtId="0" fontId="6" fillId="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9D3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1"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24" customWidth="1" style="10" min="1" max="1"/>
    <col width="11" customWidth="1" style="10" min="2" max="2"/>
    <col width="30" customWidth="1" style="10" min="3" max="3"/>
    <col width="34" customWidth="1" style="10" min="4" max="4"/>
    <col width="16" customWidth="1" style="10" min="5" max="5"/>
    <col width="46" customWidth="1" style="10" min="6" max="6"/>
    <col width="10" customWidth="1" style="10" min="7" max="7"/>
    <col width="12" customWidth="1" style="10" min="8" max="8"/>
    <col width="32" customWidth="1" style="10" min="9" max="9"/>
    <col width="34" customWidth="1" style="10" min="10" max="10"/>
  </cols>
  <sheetData>
    <row r="1" ht="17.35" customHeight="1" s="11">
      <c r="A1" s="12" t="inlineStr">
        <is>
          <t>CardioAI CVD Risk Calculators — Models Sheet</t>
        </is>
      </c>
    </row>
    <row r="2" ht="15" customHeight="1" s="11">
      <c r="A2" s="13" t="inlineStr">
        <is>
          <t>Generated from the repository code (cardioai_core/schema.py, training/labeling.py, training/audit.py, curation/governance.py). Counts in columns G–H are live formulas over the Inputs and Auto-labelling tabs.</t>
        </is>
      </c>
    </row>
    <row r="3" ht="23.85" customHeight="1" s="11">
      <c r="A3" s="14" t="inlineStr">
        <is>
          <t>Calculator</t>
        </is>
      </c>
      <c r="B3" s="14" t="inlineStr">
        <is>
          <t>Target C-statistic</t>
        </is>
      </c>
      <c r="C3" s="14" t="inlineStr">
        <is>
          <t>Primary endpoint</t>
        </is>
      </c>
      <c r="D3" s="14" t="inlineStr">
        <is>
          <t>Secondary endpoints</t>
        </is>
      </c>
      <c r="E3" s="14" t="inlineStr">
        <is>
          <t>Horizons</t>
        </is>
      </c>
      <c r="F3" s="14" t="inlineStr">
        <is>
          <t>Population / eligibility</t>
        </is>
      </c>
      <c r="G3" s="14" t="inlineStr">
        <is>
          <t>Inputs used</t>
        </is>
      </c>
      <c r="H3" s="14" t="inlineStr">
        <is>
          <t>Labelling functions</t>
        </is>
      </c>
      <c r="I3" s="14" t="inlineStr">
        <is>
          <t>Published comparators</t>
        </is>
      </c>
      <c r="J3" s="14" t="inlineStr">
        <is>
          <t>Model</t>
        </is>
      </c>
    </row>
    <row r="4" ht="35.05" customHeight="1" s="11">
      <c r="A4" s="15" t="inlineStr">
        <is>
          <t>Acute Myocardial Infarction (AMI)</t>
        </is>
      </c>
      <c r="B4" s="16" t="n">
        <v>0.82</v>
      </c>
      <c r="C4" s="15" t="inlineStr">
        <is>
          <t>Acute myocardial infarction (5-year)</t>
        </is>
      </c>
      <c r="D4" s="15" t="inlineStr">
        <is>
          <t>—</t>
        </is>
      </c>
      <c r="E4" s="15" t="inlineStr">
        <is>
          <t>30 days, 1 year, 5 years</t>
        </is>
      </c>
      <c r="F4" s="15" t="inlineStr">
        <is>
          <t>Primary and secondary prevention populations. Adults 18–89 (no pediatric patients) at a landmark outpatient visit with a lipid result in the prior year, 2012–2019.</t>
        </is>
      </c>
      <c r="G4" s="15">
        <f>COUNTIF(Inputs!H:H,"Y")</f>
        <v/>
      </c>
      <c r="H4" s="15">
        <f>COUNTIFS('Auto-labelling'!A:A,"ami",'Auto-labelling'!B:B,"&lt;&gt;(bias)")</f>
        <v/>
      </c>
      <c r="I4" s="15" t="inlineStr">
        <is>
          <t>Pooled Cohort Equations (2013 ACC/AHA)</t>
        </is>
      </c>
      <c r="J4" s="15" t="inlineStr">
        <is>
          <t>Calibrated HistGradientBoosting per endpoint × horizon (isotonic/sigmoid, 3-fold)</t>
        </is>
      </c>
    </row>
    <row r="5" ht="35.05" customHeight="1" s="11">
      <c r="A5" s="15" t="inlineStr">
        <is>
          <t>Stroke Risk</t>
        </is>
      </c>
      <c r="B5" s="16" t="n">
        <v>0.75</v>
      </c>
      <c r="C5" s="15" t="inlineStr">
        <is>
          <t>Any stroke or TIA (5-year)</t>
        </is>
      </c>
      <c r="D5" s="15" t="inlineStr">
        <is>
          <t>Ischemic stroke; Hemorrhagic stroke; Transient ischemic attack</t>
        </is>
      </c>
      <c r="E5" s="15" t="inlineStr">
        <is>
          <t>30 days, 1 year, 5 years</t>
        </is>
      </c>
      <c r="F5" s="15" t="inlineStr">
        <is>
          <t>Includes AF-stroke and hemorrhagic stroke models. Adults 18–89 (no pediatric patients) at a landmark outpatient visit with a lipid result in the prior year, 2012–2019.</t>
        </is>
      </c>
      <c r="G5" s="15">
        <f>COUNTIF(Inputs!I:I,"Y")</f>
        <v/>
      </c>
      <c r="H5" s="15">
        <f>COUNTIFS('Auto-labelling'!A:A,"stroke",'Auto-labelling'!B:B,"&lt;&gt;(bias)")</f>
        <v/>
      </c>
      <c r="I5" s="15" t="inlineStr">
        <is>
          <t>CHA₂DS₂-VASc; Pooled Cohort Equations (2013 ACC/AHA)</t>
        </is>
      </c>
      <c r="J5" s="15" t="inlineStr">
        <is>
          <t>Calibrated HistGradientBoosting per endpoint × horizon (isotonic/sigmoid, 3-fold)</t>
        </is>
      </c>
    </row>
    <row r="6" ht="35.05" customHeight="1" s="11">
      <c r="A6" s="15" t="inlineStr">
        <is>
          <t>Heart Failure</t>
        </is>
      </c>
      <c r="B6" s="16" t="n">
        <v>0.8</v>
      </c>
      <c r="C6" s="15" t="inlineStr">
        <is>
          <t>Heart failure hospitalization / diagnosis (5-year)</t>
        </is>
      </c>
      <c r="D6" s="15" t="inlineStr">
        <is>
          <t>HFrEF; HFpEF</t>
        </is>
      </c>
      <c r="E6" s="15" t="inlineStr">
        <is>
          <t>30 days, 1 year, 5 years</t>
        </is>
      </c>
      <c r="F6" s="15" t="inlineStr">
        <is>
          <t>Separate models for HFrEF and HFpEF. Adults 18–89 (no pediatric patients) at a landmark outpatient visit with a lipid result in the prior year, 2012–2019.</t>
        </is>
      </c>
      <c r="G6" s="15">
        <f>COUNTIF(Inputs!J:J,"Y")</f>
        <v/>
      </c>
      <c r="H6" s="15">
        <f>COUNTIFS('Auto-labelling'!A:A,"hf",'Auto-labelling'!B:B,"&lt;&gt;(bias)")</f>
        <v/>
      </c>
      <c r="I6" s="15" t="inlineStr">
        <is>
          <t>—</t>
        </is>
      </c>
      <c r="J6" s="15" t="inlineStr">
        <is>
          <t>Calibrated HistGradientBoosting per endpoint × horizon (isotonic/sigmoid, 3-fold)</t>
        </is>
      </c>
    </row>
    <row r="7" ht="35.05" customHeight="1" s="11">
      <c r="A7" s="15" t="inlineStr">
        <is>
          <t>Sudden Cardiac Death (SCD)</t>
        </is>
      </c>
      <c r="B7" s="16" t="n">
        <v>0.78</v>
      </c>
      <c r="C7" s="15" t="inlineStr">
        <is>
          <t>Cardiac arrest / VF / sustained VT (5-year)</t>
        </is>
      </c>
      <c r="D7" s="15" t="inlineStr">
        <is>
          <t>—</t>
        </is>
      </c>
      <c r="E7" s="15" t="inlineStr">
        <is>
          <t>30 days, 1 year, 5 years</t>
        </is>
      </c>
      <c r="F7" s="15" t="inlineStr">
        <is>
          <t>Guides ICD placement decisions. Adults 18–89 (no pediatric patients) at a landmark outpatient visit with a lipid result in the prior year, 2012–2019.</t>
        </is>
      </c>
      <c r="G7" s="15">
        <f>COUNTIF(Inputs!K:K,"Y")</f>
        <v/>
      </c>
      <c r="H7" s="15">
        <f>COUNTIFS('Auto-labelling'!A:A,"scd",'Auto-labelling'!B:B,"&lt;&gt;(bias)")</f>
        <v/>
      </c>
      <c r="I7" s="15" t="inlineStr">
        <is>
          <t>ACC/AHA/HRS primary-prevention ICD criteria (screen)</t>
        </is>
      </c>
      <c r="J7" s="15" t="inlineStr">
        <is>
          <t>Calibrated HistGradientBoosting per endpoint × horizon (isotonic/sigmoid, 3-fold)</t>
        </is>
      </c>
    </row>
    <row r="8" ht="46.25" customHeight="1" s="11">
      <c r="A8" s="15" t="inlineStr">
        <is>
          <t>Atrial Fibrillation</t>
        </is>
      </c>
      <c r="B8" s="16" t="n">
        <v>0.8</v>
      </c>
      <c r="C8" s="15" t="inlineStr">
        <is>
          <t>New-onset atrial fibrillation / flutter (5-year)</t>
        </is>
      </c>
      <c r="D8" s="15" t="inlineStr">
        <is>
          <t>—</t>
        </is>
      </c>
      <c r="E8" s="15" t="inlineStr">
        <is>
          <t>30 days, 1 year, 5 years</t>
        </is>
      </c>
      <c r="F8" s="15" t="inlineStr">
        <is>
          <t>Enables targeted screening and early intervention. Excludes patients with AF before index. Adults 18–89 (no pediatric patients) at a landmark outpatient visit with a lipid result in the prior year, 2012–2019.</t>
        </is>
      </c>
      <c r="G8" s="15">
        <f>COUNTIF(Inputs!L:L,"Y")</f>
        <v/>
      </c>
      <c r="H8" s="15">
        <f>COUNTIFS('Auto-labelling'!A:A,"af",'Auto-labelling'!B:B,"&lt;&gt;(bias)")</f>
        <v/>
      </c>
      <c r="I8" s="15" t="inlineStr">
        <is>
          <t>CHARGE-AF (simple model)</t>
        </is>
      </c>
      <c r="J8" s="15" t="inlineStr">
        <is>
          <t>Calibrated HistGradientBoosting per endpoint × horizon (isotonic/sigmoid, 3-fold)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G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6" customWidth="1" style="11" min="1" max="1"/>
    <col width="16" customWidth="1" style="11" min="2" max="2"/>
    <col width="62" customWidth="1" style="11" min="3" max="3"/>
    <col width="22" customWidth="1" style="11" min="4" max="4"/>
    <col width="18" customWidth="1" style="11" min="5" max="5"/>
    <col width="24" customWidth="1" style="11" min="6" max="6"/>
    <col width="36" customWidth="1" style="11" min="7" max="7"/>
  </cols>
  <sheetData>
    <row r="1" ht="48" customHeight="1" s="11">
      <c r="A1" s="24" t="inlineStr">
        <is>
          <t>Who the five calculators are for: Adults aged 18–89 years. Pediatric patients (under 18) are excluded from training, validation and use of all five calculators. The same rules are applied by the cohort SQL, the automatic audit and the calculator app (cardioai_core/schema.py → ELIGIBILITY).</t>
        </is>
      </c>
    </row>
    <row r="2">
      <c r="A2" s="25" t="inlineStr">
        <is>
          <t>ID</t>
        </is>
      </c>
      <c r="B2" s="25" t="inlineStr">
        <is>
          <t>Type</t>
        </is>
      </c>
      <c r="C2" s="25" t="inlineStr">
        <is>
          <t>Criterion</t>
        </is>
      </c>
      <c r="D2" s="25" t="inlineStr">
        <is>
          <t>Applies to</t>
        </is>
      </c>
      <c r="E2" s="25" t="inlineStr">
        <is>
          <t>Lower bound</t>
        </is>
      </c>
      <c r="F2" s="25" t="inlineStr">
        <is>
          <t>Upper bound</t>
        </is>
      </c>
      <c r="G2" s="25" t="inlineStr">
        <is>
          <t>Enforced in</t>
        </is>
      </c>
    </row>
    <row r="3">
      <c r="A3" s="19" t="inlineStr">
        <is>
          <t>I1</t>
        </is>
      </c>
      <c r="B3" s="19" t="inlineStr">
        <is>
          <t>Inclusion</t>
        </is>
      </c>
      <c r="C3" s="19" t="inlineStr">
        <is>
          <t>Age 18–89 years at the index visit (age ≥ 18.0 and &lt; 90.0)</t>
        </is>
      </c>
      <c r="D3" s="19" t="inlineStr">
        <is>
          <t>All 5 calculators</t>
        </is>
      </c>
      <c r="E3" s="19" t="inlineStr">
        <is>
          <t>18 years (inclusive)</t>
        </is>
      </c>
      <c r="F3" s="19" t="inlineStr">
        <is>
          <t>89 years (inclusive; &lt; 90)</t>
        </is>
      </c>
      <c r="G3" s="19" t="inlineStr">
        <is>
          <t>cohort SQL; API validation</t>
        </is>
      </c>
    </row>
    <row r="4">
      <c r="A4" s="19" t="inlineStr">
        <is>
          <t>I2</t>
        </is>
      </c>
      <c r="B4" s="19" t="inlineStr">
        <is>
          <t>Inclusion</t>
        </is>
      </c>
      <c r="C4" s="19" t="inlineStr">
        <is>
          <t>An outpatient visit between 2012-01-01 and 2019-12-31 (one index visit per patient, chosen at random among eligible visits)</t>
        </is>
      </c>
      <c r="D4" s="19" t="inlineStr">
        <is>
          <t>All 5 calculators</t>
        </is>
      </c>
      <c r="E4" s="19" t="inlineStr"/>
      <c r="F4" s="19" t="inlineStr"/>
      <c r="G4" s="19" t="inlineStr">
        <is>
          <t>cohort SQL</t>
        </is>
      </c>
    </row>
    <row r="5">
      <c r="A5" s="19" t="inlineStr">
        <is>
          <t>I3</t>
        </is>
      </c>
      <c r="B5" s="19" t="inlineStr">
        <is>
          <t>Inclusion</t>
        </is>
      </c>
      <c r="C5" s="19" t="inlineStr">
        <is>
          <t>At least 365 days of observation before the index visit</t>
        </is>
      </c>
      <c r="D5" s="19" t="inlineStr">
        <is>
          <t>All 5 calculators</t>
        </is>
      </c>
      <c r="E5" s="19" t="inlineStr"/>
      <c r="F5" s="19" t="inlineStr"/>
      <c r="G5" s="19" t="inlineStr">
        <is>
          <t>cohort SQL</t>
        </is>
      </c>
    </row>
    <row r="6">
      <c r="A6" s="19" t="inlineStr">
        <is>
          <t>I4</t>
        </is>
      </c>
      <c r="B6" s="19" t="inlineStr">
        <is>
          <t>Inclusion</t>
        </is>
      </c>
      <c r="C6" s="19" t="inlineStr">
        <is>
          <t>Total cholesterol or HDL cholesterol measured in the 365 days before the index visit</t>
        </is>
      </c>
      <c r="D6" s="19" t="inlineStr">
        <is>
          <t>All 5 calculators</t>
        </is>
      </c>
      <c r="E6" s="19" t="inlineStr"/>
      <c r="F6" s="19" t="inlineStr"/>
      <c r="G6" s="19" t="inlineStr">
        <is>
          <t>cohort SQL</t>
        </is>
      </c>
    </row>
    <row r="7">
      <c r="A7" s="19" t="inlineStr">
        <is>
          <t>I5</t>
        </is>
      </c>
      <c r="B7" s="19" t="inlineStr">
        <is>
          <t>Inclusion</t>
        </is>
      </c>
      <c r="C7" s="19" t="inlineStr">
        <is>
          <t>Recorded sex male or female (the models and published equations are sex-specific)</t>
        </is>
      </c>
      <c r="D7" s="19" t="inlineStr">
        <is>
          <t>All 5 calculators</t>
        </is>
      </c>
      <c r="E7" s="19" t="inlineStr"/>
      <c r="F7" s="19" t="inlineStr"/>
      <c r="G7" s="19" t="inlineStr">
        <is>
          <t>cohort SQL; API validation</t>
        </is>
      </c>
    </row>
    <row r="8">
      <c r="A8" s="19" t="inlineStr">
        <is>
          <t>E1</t>
        </is>
      </c>
      <c r="B8" s="19" t="inlineStr">
        <is>
          <t>Exclusion</t>
        </is>
      </c>
      <c r="C8" s="19" t="inlineStr">
        <is>
          <t>Age under 18 at the index visit (pediatric)</t>
        </is>
      </c>
      <c r="D8" s="19" t="inlineStr">
        <is>
          <t>All 5 calculators</t>
        </is>
      </c>
      <c r="E8" s="19" t="inlineStr"/>
      <c r="F8" s="19" t="inlineStr">
        <is>
          <t>&lt; 18 years</t>
        </is>
      </c>
      <c r="G8" s="19" t="inlineStr">
        <is>
          <t>cohort SQL; audit (fail); API refuses</t>
        </is>
      </c>
    </row>
    <row r="9">
      <c r="A9" s="19" t="inlineStr">
        <is>
          <t>E2</t>
        </is>
      </c>
      <c r="B9" s="19" t="inlineStr">
        <is>
          <t>Exclusion</t>
        </is>
      </c>
      <c r="C9" s="19" t="inlineStr">
        <is>
          <t>Age 90 or over at the index visit (top-coded in de-identified data)</t>
        </is>
      </c>
      <c r="D9" s="19" t="inlineStr">
        <is>
          <t>All 5 calculators</t>
        </is>
      </c>
      <c r="E9" s="19" t="inlineStr">
        <is>
          <t>≥ 90 years</t>
        </is>
      </c>
      <c r="F9" s="19" t="inlineStr"/>
      <c r="G9" s="19" t="inlineStr">
        <is>
          <t>cohort SQL; audit (fail); API refuses</t>
        </is>
      </c>
    </row>
    <row r="10">
      <c r="A10" s="19" t="inlineStr">
        <is>
          <t>E3</t>
        </is>
      </c>
      <c r="B10" s="19" t="inlineStr">
        <is>
          <t>Exclusion</t>
        </is>
      </c>
      <c r="C10" s="19" t="inlineStr">
        <is>
          <t>Sex not recorded as male or female</t>
        </is>
      </c>
      <c r="D10" s="19" t="inlineStr">
        <is>
          <t>All 5 calculators</t>
        </is>
      </c>
      <c r="E10" s="19" t="inlineStr"/>
      <c r="F10" s="19" t="inlineStr"/>
      <c r="G10" s="19" t="inlineStr">
        <is>
          <t>cohort SQL</t>
        </is>
      </c>
    </row>
    <row r="11">
      <c r="A11" s="19" t="inlineStr">
        <is>
          <t>E4</t>
        </is>
      </c>
      <c r="B11" s="19" t="inlineStr">
        <is>
          <t>Exclusion</t>
        </is>
      </c>
      <c r="C11" s="19" t="inlineStr">
        <is>
          <t>Death recorded on or before the index date</t>
        </is>
      </c>
      <c r="D11" s="19" t="inlineStr">
        <is>
          <t>All 5 calculators</t>
        </is>
      </c>
      <c r="E11" s="19" t="inlineStr"/>
      <c r="F11" s="19" t="inlineStr"/>
      <c r="G11" s="19" t="inlineStr">
        <is>
          <t>cohort SQL</t>
        </is>
      </c>
    </row>
    <row r="12">
      <c r="A12" s="19" t="inlineStr">
        <is>
          <t>E5</t>
        </is>
      </c>
      <c r="B12" s="19" t="inlineStr">
        <is>
          <t>Exclusion</t>
        </is>
      </c>
      <c r="C12" s="19" t="inlineStr">
        <is>
          <t>No observation time after the index date (no follow-up)</t>
        </is>
      </c>
      <c r="D12" s="19" t="inlineStr">
        <is>
          <t>All 5 calculators</t>
        </is>
      </c>
      <c r="E12" s="19" t="inlineStr"/>
      <c r="F12" s="19" t="inlineStr"/>
      <c r="G12" s="19" t="inlineStr">
        <is>
          <t>cohort SQL</t>
        </is>
      </c>
    </row>
    <row r="13">
      <c r="A13" s="19" t="inlineStr">
        <is>
          <t>E6</t>
        </is>
      </c>
      <c r="B13" s="19" t="inlineStr">
        <is>
          <t>Exclusion</t>
        </is>
      </c>
      <c r="C13" s="19" t="inlineStr">
        <is>
          <t>Known atrial fibrillation or flutter at the index visit</t>
        </is>
      </c>
      <c r="D13" s="19" t="inlineStr">
        <is>
          <t>Atrial Fibrillation</t>
        </is>
      </c>
      <c r="E13" s="19" t="inlineStr"/>
      <c r="F13" s="19" t="inlineStr"/>
      <c r="G13" s="19" t="inlineStr">
        <is>
          <t>AF training labels; API returns 'not applicable'</t>
        </is>
      </c>
    </row>
    <row r="14">
      <c r="A14" s="19" t="inlineStr">
        <is>
          <t>O1</t>
        </is>
      </c>
      <c r="B14" s="19" t="inlineStr">
        <is>
          <t>Outcome rule</t>
        </is>
      </c>
      <c r="C14" s="19" t="inlineStr">
        <is>
          <t>Type 2 (supply/demand) MI is not counted as an AMI event (the patient stays in the cohort)</t>
        </is>
      </c>
      <c r="D14" s="19" t="inlineStr">
        <is>
          <t>AMI</t>
        </is>
      </c>
      <c r="E14" s="19" t="inlineStr"/>
      <c r="F14" s="19" t="inlineStr"/>
      <c r="G14" s="19" t="inlineStr">
        <is>
          <t>Labelling governance (data/governance.json)</t>
        </is>
      </c>
    </row>
    <row r="15">
      <c r="A15" s="19" t="inlineStr">
        <is>
          <t>O2</t>
        </is>
      </c>
      <c r="B15" s="19" t="inlineStr">
        <is>
          <t>Outcome rule</t>
        </is>
      </c>
      <c r="C15" s="19" t="inlineStr">
        <is>
          <t>Post-operative AF (≤ 30 days after cardiac surgery) is not counted as new-onset AF (the patient stays in the cohort)</t>
        </is>
      </c>
      <c r="D15" s="19" t="inlineStr">
        <is>
          <t>AF</t>
        </is>
      </c>
      <c r="E15" s="19" t="inlineStr"/>
      <c r="F15" s="19" t="inlineStr"/>
      <c r="G15" s="19" t="inlineStr">
        <is>
          <t>Labelling governance (data/governance.json)</t>
        </is>
      </c>
    </row>
    <row r="16">
      <c r="A16" s="19" t="inlineStr">
        <is>
          <t>O3</t>
        </is>
      </c>
      <c r="B16" s="19" t="inlineStr">
        <is>
          <t>Outcome rule</t>
        </is>
      </c>
      <c r="C16" s="19" t="inlineStr">
        <is>
          <t>Only the first event of each outcome after the index date is counted (the patient stays in the cohort)</t>
        </is>
      </c>
      <c r="D16" s="19" t="inlineStr">
        <is>
          <t>All 5 calculators</t>
        </is>
      </c>
      <c r="E16" s="19" t="inlineStr"/>
      <c r="F16" s="19" t="inlineStr"/>
      <c r="G16" s="19" t="inlineStr">
        <is>
          <t>Labelling governance (data/governance.json)</t>
        </is>
      </c>
    </row>
    <row r="17">
      <c r="A17" s="19" t="inlineStr">
        <is>
          <t>R</t>
        </is>
      </c>
      <c r="B17" s="19" t="inlineStr">
        <is>
          <t>Reference equation range</t>
        </is>
      </c>
      <c r="C17" s="19" t="inlineStr">
        <is>
          <t>Pooled Cohort Equations: validated 40–79 years; outside it the app shows the equation as not applicable</t>
        </is>
      </c>
      <c r="D17" s="19" t="inlineStr">
        <is>
          <t>Reference only</t>
        </is>
      </c>
      <c r="E17" s="19" t="inlineStr"/>
      <c r="F17" s="19" t="inlineStr"/>
      <c r="G17" s="19" t="inlineStr">
        <is>
          <t>cardioai_core/equations.py</t>
        </is>
      </c>
    </row>
    <row r="18">
      <c r="A18" s="19" t="inlineStr">
        <is>
          <t>R</t>
        </is>
      </c>
      <c r="B18" s="19" t="inlineStr">
        <is>
          <t>Reference equation range</t>
        </is>
      </c>
      <c r="C18" s="19" t="inlineStr">
        <is>
          <t>CHARGE-AF: validated 46–94 years (used here up to 89); outside it the app shows the equation as not applicable</t>
        </is>
      </c>
      <c r="D18" s="19" t="inlineStr">
        <is>
          <t>Reference only</t>
        </is>
      </c>
      <c r="E18" s="19" t="inlineStr"/>
      <c r="F18" s="19" t="inlineStr"/>
      <c r="G18" s="19" t="inlineStr">
        <is>
          <t>cardioai_core/equations.py</t>
        </is>
      </c>
    </row>
    <row r="19">
      <c r="A19" s="19" t="inlineStr">
        <is>
          <t>R</t>
        </is>
      </c>
      <c r="B19" s="19" t="inlineStr">
        <is>
          <t>Reference equation range</t>
        </is>
      </c>
      <c r="C19" s="19" t="inlineStr">
        <is>
          <t>CHA₂DS₂-VASc: validated adults with AF; outside it the app shows the equation as not applicable</t>
        </is>
      </c>
      <c r="D19" s="19" t="inlineStr">
        <is>
          <t>Reference only</t>
        </is>
      </c>
      <c r="E19" s="19" t="inlineStr"/>
      <c r="F19" s="19" t="inlineStr"/>
      <c r="G19" s="19" t="inlineStr">
        <is>
          <t>cardioai_core/equations.py</t>
        </is>
      </c>
    </row>
    <row r="20">
      <c r="A20" s="19" t="inlineStr">
        <is>
          <t>R</t>
        </is>
      </c>
      <c r="B20" s="19" t="inlineStr">
        <is>
          <t>Reference equation range</t>
        </is>
      </c>
      <c r="C20" s="19" t="inlineStr">
        <is>
          <t>ICD criteria: validated adults; outside it the app shows the equation as not applicable</t>
        </is>
      </c>
      <c r="D20" s="19" t="inlineStr">
        <is>
          <t>Reference only</t>
        </is>
      </c>
      <c r="E20" s="19" t="inlineStr"/>
      <c r="F20" s="19" t="inlineStr"/>
      <c r="G20" s="19" t="inlineStr">
        <is>
          <t>cardioai_core/equations.py</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style="11" min="1" max="1"/>
    <col width="22" customWidth="1" style="11" min="2" max="2"/>
    <col width="50" customWidth="1" style="11" min="3" max="3"/>
    <col width="40" customWidth="1" style="11" min="4" max="4"/>
    <col width="40" customWidth="1" style="11" min="5" max="5"/>
    <col width="18" customWidth="1" style="11" min="6" max="6"/>
    <col width="12" customWidth="1" style="11" min="7" max="7"/>
    <col width="45" customWidth="1" style="11" min="8" max="8"/>
    <col width="20" customWidth="1" style="11" min="9" max="9"/>
  </cols>
  <sheetData>
    <row r="1" ht="30" customHeight="1" s="11">
      <c r="A1" s="17" t="inlineStr">
        <is>
          <t>Items that need a response from Mayo Clinic Platform (MCP) before or during the build. Fill in the response, who answered and when.</t>
        </is>
      </c>
    </row>
    <row r="2">
      <c r="A2" s="18" t="inlineStr">
        <is>
          <t>#</t>
        </is>
      </c>
      <c r="B2" s="18" t="inlineStr">
        <is>
          <t>Topic</t>
        </is>
      </c>
      <c r="C2" s="18" t="inlineStr">
        <is>
          <t>Question for MCP</t>
        </is>
      </c>
      <c r="D2" s="18" t="inlineStr">
        <is>
          <t>Why it matters</t>
        </is>
      </c>
      <c r="E2" s="18" t="inlineStr">
        <is>
          <t>What it blocks / where it is used</t>
        </is>
      </c>
      <c r="F2" s="18" t="inlineStr">
        <is>
          <t>Needed by</t>
        </is>
      </c>
      <c r="G2" s="18" t="inlineStr">
        <is>
          <t>Status</t>
        </is>
      </c>
      <c r="H2" s="18" t="inlineStr">
        <is>
          <t>MCP response</t>
        </is>
      </c>
      <c r="I2" s="18" t="inlineStr">
        <is>
          <t>Answered by / date</t>
        </is>
      </c>
    </row>
    <row r="3">
      <c r="A3" s="19" t="n">
        <v>1</v>
      </c>
      <c r="B3" s="19" t="inlineStr">
        <is>
          <t>Echo data (FACT_ECHO_TEST)</t>
        </is>
      </c>
      <c r="C3" s="19" t="inlineStr">
        <is>
          <t>Which columns hold the patient key, the echo date/time and the echo id, and how does the patient key map to OMOP person_id?</t>
        </is>
      </c>
      <c r="D3" s="19" t="inlineStr">
        <is>
          <t>LVEF from echo notes is an input and an HF subtype source; the extract must join echo notes to the cohort.</t>
        </is>
      </c>
      <c r="E3" s="19" t="inlineStr">
        <is>
          <t>Echo extraction refuses to run until set (training/native_sources.json). Runbook Phase 2.</t>
        </is>
      </c>
      <c r="F3" s="19" t="inlineStr">
        <is>
          <t>Before extraction (Phase 3)</t>
        </is>
      </c>
      <c r="G3" s="19" t="inlineStr">
        <is>
          <t>Open</t>
        </is>
      </c>
      <c r="H3" s="19" t="inlineStr"/>
      <c r="I3" s="19" t="inlineStr"/>
    </row>
    <row r="4">
      <c r="A4" s="19" t="n">
        <v>2</v>
      </c>
      <c r="B4" s="19" t="inlineStr">
        <is>
          <t>Table locations</t>
        </is>
      </c>
      <c r="C4" s="19" t="inlineStr">
        <is>
          <t>What are the Spark catalog/schema names for the OMOP CDM tables and the native FACT_* tables? Does OMOP note hold all FACT_RADIOLOGY reports?</t>
        </is>
      </c>
      <c r="D4" s="19" t="inlineStr">
        <is>
          <t>The Spark SQL extract needs exact table names; radiology reports supply CAC and stroke imaging evidence.</t>
        </is>
      </c>
      <c r="E4" s="19" t="inlineStr">
        <is>
          <t>Extraction configuration (training/extract.py, preflight). Runbook Phase 2.</t>
        </is>
      </c>
      <c r="F4" s="19" t="inlineStr">
        <is>
          <t>Before extraction (Phase 3)</t>
        </is>
      </c>
      <c r="G4" s="19" t="inlineStr">
        <is>
          <t>Open</t>
        </is>
      </c>
      <c r="H4" s="19" t="inlineStr"/>
      <c r="I4" s="19" t="inlineStr"/>
    </row>
    <row r="5">
      <c r="A5" s="19" t="n">
        <v>3</v>
      </c>
      <c r="B5" s="19" t="inlineStr">
        <is>
          <t>Primary diagnosis</t>
        </is>
      </c>
      <c r="C5" s="19" t="inlineStr">
        <is>
          <t>Which condition_status_concept_id / condition_type_concept_id values mark a primary (principal) diagnosis in Mayo's OMOP data?</t>
        </is>
      </c>
      <c r="D5" s="19" t="inlineStr">
        <is>
          <t>The 'primary_dx' labelling function votes for events coded as primary.</t>
        </is>
      </c>
      <c r="E5" s="19" t="inlineStr">
        <is>
          <t>Auto-labelling accuracy for AMI, stroke, HF and SCD (training/codesets.py PRIMARY_STATUS).</t>
        </is>
      </c>
      <c r="F5" s="19" t="inlineStr">
        <is>
          <t>Before labelling (Phase 5)</t>
        </is>
      </c>
      <c r="G5" s="19" t="inlineStr">
        <is>
          <t>Open</t>
        </is>
      </c>
      <c r="H5" s="19" t="inlineStr"/>
      <c r="I5" s="19" t="inlineStr"/>
    </row>
    <row r="6">
      <c r="A6" s="19" t="n">
        <v>4</v>
      </c>
      <c r="B6" s="19" t="inlineStr">
        <is>
          <t>Troponin assay history</t>
        </is>
      </c>
      <c r="C6" s="19" t="inlineStr">
        <is>
          <t>On what date did Mayo switch from conventional troponin T to hs-troponin T Gen 5, and is measurement.range_high populated?</t>
        </is>
      </c>
      <c r="D6" s="19" t="inlineStr">
        <is>
          <t>AMI labels depend on troponin above the upper reference limit with a rise/fall; the limit differs by assay.</t>
        </is>
      </c>
      <c r="E6" s="19" t="inlineStr">
        <is>
          <t>AMI auto-labels and the reference limits shown to readers.</t>
        </is>
      </c>
      <c r="F6" s="19" t="inlineStr">
        <is>
          <t>Before labelling (Phase 5)</t>
        </is>
      </c>
      <c r="G6" s="19" t="inlineStr">
        <is>
          <t>Open</t>
        </is>
      </c>
      <c r="H6" s="19" t="inlineStr"/>
      <c r="I6" s="19" t="inlineStr"/>
    </row>
    <row r="7">
      <c r="A7" s="19" t="n">
        <v>5</v>
      </c>
      <c r="B7" s="19" t="inlineStr">
        <is>
          <t>Death data completeness</t>
        </is>
      </c>
      <c r="C7" s="19" t="inlineStr">
        <is>
          <t>How complete is death data for deaths outside Mayo (e.g. state death-index linkage), and from what date?</t>
        </is>
      </c>
      <c r="D7" s="19" t="inlineStr">
        <is>
          <t>Sudden cardiac death outside hospital is otherwise under-captured; death also censors follow-up.</t>
        </is>
      </c>
      <c r="E7" s="19" t="inlineStr">
        <is>
          <t>SCD endpoint validity; follow-up and censoring for all calculators.</t>
        </is>
      </c>
      <c r="F7" s="19" t="inlineStr">
        <is>
          <t>Before training (Phase 9)</t>
        </is>
      </c>
      <c r="G7" s="19" t="inlineStr">
        <is>
          <t>Open</t>
        </is>
      </c>
      <c r="H7" s="19" t="inlineStr"/>
      <c r="I7" s="19" t="inlineStr"/>
    </row>
    <row r="8">
      <c r="A8" s="19" t="n">
        <v>6</v>
      </c>
      <c r="B8" s="19" t="inlineStr">
        <is>
          <t>Model export review</t>
        </is>
      </c>
      <c r="C8" s="19" t="inlineStr">
        <is>
          <t>Is the cell-suppression threshold &lt; 11 correct, and what are the export-review steps, reviewers and expected turnaround?</t>
        </is>
      </c>
      <c r="D8" s="19" t="inlineStr">
        <is>
          <t>Only the reviewed model bundle (weights + aggregate metrics) may leave the workspace.</t>
        </is>
      </c>
      <c r="E8" s="19" t="inlineStr">
        <is>
          <t>Release of the trained bundle to Render (Runbook Phase 10).</t>
        </is>
      </c>
      <c r="F8" s="19" t="inlineStr">
        <is>
          <t>Before deployment (Phase 10)</t>
        </is>
      </c>
      <c r="G8" s="19" t="inlineStr">
        <is>
          <t>Open</t>
        </is>
      </c>
      <c r="H8" s="19" t="inlineStr"/>
      <c r="I8" s="19" t="inlineStr"/>
    </row>
    <row r="9">
      <c r="A9" s="19" t="n">
        <v>7</v>
      </c>
      <c r="B9" s="19" t="inlineStr">
        <is>
          <t>Hosting the exported model</t>
        </is>
      </c>
      <c r="C9" s="19" t="inlineStr">
        <is>
          <t>Does the CardioAI agreement allow hosting the export-approved model bundle in private object storage and serving it from the Render web app?</t>
        </is>
      </c>
      <c r="D9" s="19" t="inlineStr">
        <is>
          <t>The live calculators load the bundle from MODEL_BUNDLE_URL.</t>
        </is>
      </c>
      <c r="E9" s="19" t="inlineStr">
        <is>
          <t>Switching the live app from demo to Mayo-trained models.</t>
        </is>
      </c>
      <c r="F9" s="19" t="inlineStr">
        <is>
          <t>Before deployment (Phase 10)</t>
        </is>
      </c>
      <c r="G9" s="19" t="inlineStr">
        <is>
          <t>Open</t>
        </is>
      </c>
      <c r="H9" s="19" t="inlineStr"/>
      <c r="I9" s="19" t="inlineStr"/>
    </row>
    <row r="10">
      <c r="A10" s="19" t="n">
        <v>8</v>
      </c>
      <c r="B10" s="19" t="inlineStr">
        <is>
          <t>Annotator seats</t>
        </is>
      </c>
      <c r="C10" s="19" t="inlineStr">
        <is>
          <t>Are the 5 annotator seats (cardioailive.com accounts) separate from the data scientists' workspace seats?</t>
        </is>
      </c>
      <c r="D10" s="19" t="inlineStr">
        <is>
          <t>Staffing for adjudication: up to 5 cardiologist readers plus data scientists.</t>
        </is>
      </c>
      <c r="E10" s="19" t="inlineStr">
        <is>
          <t>Reader accounts in the curation workbench (reader_policy).</t>
        </is>
      </c>
      <c r="F10" s="19" t="inlineStr">
        <is>
          <t>Before adjudication (Phase 7)</t>
        </is>
      </c>
      <c r="G10" s="19" t="inlineStr">
        <is>
          <t>Open</t>
        </is>
      </c>
      <c r="H10" s="19" t="inlineStr"/>
      <c r="I10" s="19" t="inlineStr"/>
    </row>
    <row r="11">
      <c r="A11" s="19" t="n">
        <v>9</v>
      </c>
      <c r="B11" s="19" t="inlineStr">
        <is>
          <t>Training in the workspace</t>
        </is>
      </c>
      <c r="C11" s="19" t="inlineStr">
        <is>
          <t>May the synthetic-data training environment and a second curation workbench (port 8091, localhost via JupyterLab) run in the workspace, and may annotator seats be used for training before live adjudication?</t>
        </is>
      </c>
      <c r="D11" s="19" t="inlineStr">
        <is>
          <t>The Label &amp; Annotation Training Program runs inside the workspace on synthetic data.</t>
        </is>
      </c>
      <c r="E11" s="19" t="inlineStr">
        <is>
          <t>Training sessions 1-8 and reader certification.</t>
        </is>
      </c>
      <c r="F11" s="19" t="inlineStr">
        <is>
          <t>Before training session 1</t>
        </is>
      </c>
      <c r="G11" s="19" t="inlineStr">
        <is>
          <t>Open</t>
        </is>
      </c>
      <c r="H11" s="19" t="inlineStr"/>
      <c r="I11" s="19" t="inlineStr"/>
    </row>
    <row r="12">
      <c r="A12" s="19" t="n">
        <v>10</v>
      </c>
      <c r="B12" s="19" t="inlineStr">
        <is>
          <t>Platform_Validate (optional)</t>
        </is>
      </c>
      <c r="C12" s="19" t="inlineStr">
        <is>
          <t>Is Platform_Validate available for an independent bias / sensitivity / specificity report on the trained bundle, and what does submission involve?</t>
        </is>
      </c>
      <c r="D12" s="19" t="inlineStr">
        <is>
          <t>Independent validation strengthens the clinical and regulatory case.</t>
        </is>
      </c>
      <c r="E12" s="19" t="inlineStr">
        <is>
          <t>Optional step in Runbook Phase 10.</t>
        </is>
      </c>
      <c r="F12" s="19" t="inlineStr">
        <is>
          <t>After training (optional)</t>
        </is>
      </c>
      <c r="G12" s="19" t="inlineStr">
        <is>
          <t>Open</t>
        </is>
      </c>
      <c r="H12" s="19" t="inlineStr"/>
      <c r="I12" s="19" t="inlineStr"/>
    </row>
    <row r="13">
      <c r="A13" s="19" t="n">
        <v>11</v>
      </c>
      <c r="B13" s="19" t="inlineStr">
        <is>
          <t>Age top-coding</t>
        </is>
      </c>
      <c r="C13" s="19" t="inlineStr">
        <is>
          <t>Are ages 90 and over top-coded ("90+") in the de-identified data, and are dates of birth or ages shifted? Confirm the cohort upper bound of 89.</t>
        </is>
      </c>
      <c r="D13" s="19" t="inlineStr">
        <is>
          <t>The calculators are restricted to adults 18–89; the upper bound assumes ages ≥ 90 are top-coded.</t>
        </is>
      </c>
      <c r="E13" s="19" t="inlineStr">
        <is>
          <t>Cohort age bounds (cardioai_core/schema.py AGE_MIN / AGE_MAX).</t>
        </is>
      </c>
      <c r="F13" s="19" t="inlineStr">
        <is>
          <t>Before extraction (Phase 3)</t>
        </is>
      </c>
      <c r="G13" s="19" t="inlineStr">
        <is>
          <t>Open</t>
        </is>
      </c>
      <c r="H13" s="19" t="inlineStr"/>
      <c r="I13" s="19" t="inlineStr"/>
    </row>
  </sheetData>
  <mergeCells count="1">
    <mergeCell ref="A1:I1"/>
  </mergeCells>
  <dataValidations count="1">
    <dataValidation sqref="G3:G13" showDropDown="0" showInputMessage="0" showErrorMessage="0" allowBlank="1" type="list">
      <formula1>"Open,Asked,Answered,Not applicable"</formula1>
    </dataValidation>
  </dataValidations>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I1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18" customWidth="1" style="10" min="2" max="2"/>
    <col width="11" customWidth="1" style="10" min="3" max="3"/>
    <col width="30" customWidth="1" style="10" min="4" max="4"/>
    <col width="40" customWidth="1" style="10" min="5" max="5"/>
    <col width="30" customWidth="1" style="10" min="6" max="6"/>
    <col width="50" customWidth="1" style="10" min="7" max="7"/>
    <col width="12" customWidth="1" style="10" min="8" max="8"/>
    <col width="10" customWidth="1" style="10" min="9" max="9"/>
  </cols>
  <sheetData>
    <row r="1" ht="30" customHeight="1" s="11">
      <c r="A1" s="20" t="inlineStr">
        <is>
          <t>Primary = the headline risk each calculator shows; secondary = other endpoints the same calculator reports. Codes only create candidates; whether a candidate is an event is decided by auto-labelling and cardiologist adjudication.</t>
        </is>
      </c>
    </row>
    <row r="2" ht="35.05" customHeight="1" s="11">
      <c r="A2" s="14" t="inlineStr">
        <is>
          <t>Calculator</t>
        </is>
      </c>
      <c r="B2" s="14" t="inlineStr">
        <is>
          <t>Endpoint id</t>
        </is>
      </c>
      <c r="C2" s="14" t="inlineStr">
        <is>
          <t>Role</t>
        </is>
      </c>
      <c r="D2" s="14" t="inlineStr">
        <is>
          <t>Endpoint</t>
        </is>
      </c>
      <c r="E2" s="14" t="inlineStr">
        <is>
          <t>Definition (adjudication standard)</t>
        </is>
      </c>
      <c r="F2" s="14" t="inlineStr">
        <is>
          <t>Candidate diagnosis codes</t>
        </is>
      </c>
      <c r="G2" s="14" t="inlineStr">
        <is>
          <t>What counts as an event</t>
        </is>
      </c>
      <c r="H2" s="14" t="inlineStr">
        <is>
          <t>Horizons</t>
        </is>
      </c>
      <c r="I2" s="14" t="inlineStr">
        <is>
          <t>Headline horizon</t>
        </is>
      </c>
    </row>
    <row r="3" ht="23.85" customHeight="1" s="11">
      <c r="A3" s="15" t="inlineStr">
        <is>
          <t>AMI</t>
        </is>
      </c>
      <c r="B3" s="15" t="inlineStr">
        <is>
          <t>ami</t>
        </is>
      </c>
      <c r="C3" s="15" t="inlineStr">
        <is>
          <t>Primary</t>
        </is>
      </c>
      <c r="D3" s="15" t="inlineStr">
        <is>
          <t>Acute myocardial infarction</t>
        </is>
      </c>
      <c r="E3" s="15" t="inlineStr">
        <is>
          <t>Fourth Universal Definition of Myocardial Infarction (Thygesen K et al., Circulation 2018)</t>
        </is>
      </c>
      <c r="F3" s="15" t="inlineStr">
        <is>
          <t>ICD-10: I21, I22
ICD-9: 410</t>
        </is>
      </c>
      <c r="G3" s="15" t="inlineStr">
        <is>
          <t>Confirmed STEMI, NSTEMI or unspecified MI. Type 2 MI excluded (governance ami_include_type2 = false)</t>
        </is>
      </c>
      <c r="H3" s="15" t="inlineStr">
        <is>
          <t>30d, 1y, 5y</t>
        </is>
      </c>
      <c r="I3" s="15" t="inlineStr">
        <is>
          <t>5y</t>
        </is>
      </c>
    </row>
    <row r="4" ht="35.05" customHeight="1" s="11">
      <c r="A4" s="15" t="inlineStr">
        <is>
          <t>Stroke</t>
        </is>
      </c>
      <c r="B4" s="15" t="inlineStr">
        <is>
          <t>any_stroke</t>
        </is>
      </c>
      <c r="C4" s="15" t="inlineStr">
        <is>
          <t>Primary</t>
        </is>
      </c>
      <c r="D4" s="15" t="inlineStr">
        <is>
          <t>Any stroke or TIA</t>
        </is>
      </c>
      <c r="E4" s="15" t="inlineStr">
        <is>
          <t>AHA/ASA updated definition of stroke (Sacco RL et al., Stroke 2013)</t>
        </is>
      </c>
      <c r="F4" s="15" t="inlineStr">
        <is>
          <t>ICD-10: I6[0-3], G45\.[0-389]
ICD-9: 43[0-2], 433\.\d1, 434\.\d1, 435, 436</t>
        </is>
      </c>
      <c r="G4" s="15" t="inlineStr">
        <is>
          <t>Any confirmed stroke / tia event, any subtype</t>
        </is>
      </c>
      <c r="H4" s="15" t="inlineStr">
        <is>
          <t>30d, 1y, 5y</t>
        </is>
      </c>
      <c r="I4" s="15" t="inlineStr">
        <is>
          <t>5y</t>
        </is>
      </c>
    </row>
    <row r="5" ht="35.05" customHeight="1" s="11">
      <c r="A5" s="15" t="inlineStr">
        <is>
          <t>Stroke</t>
        </is>
      </c>
      <c r="B5" s="15" t="inlineStr">
        <is>
          <t>ischemic_stroke</t>
        </is>
      </c>
      <c r="C5" s="15" t="inlineStr">
        <is>
          <t>Secondary</t>
        </is>
      </c>
      <c r="D5" s="15" t="inlineStr">
        <is>
          <t>Ischemic stroke</t>
        </is>
      </c>
      <c r="E5" s="15" t="inlineStr">
        <is>
          <t>AHA/ASA updated definition of stroke (Sacco RL et al., Stroke 2013)</t>
        </is>
      </c>
      <c r="F5" s="15" t="inlineStr">
        <is>
          <t>ICD-10: I6[0-3], G45\.[0-389]
ICD-9: 43[0-2], 433\.\d1, 434\.\d1, 435, 436</t>
        </is>
      </c>
      <c r="G5" s="15" t="inlineStr">
        <is>
          <t>Confirmed stroke event with subtype ischemic; hemorrhagic, tia = known non-event; other/unknown subtype = unresolved</t>
        </is>
      </c>
      <c r="H5" s="15" t="inlineStr">
        <is>
          <t>30d, 1y, 5y</t>
        </is>
      </c>
      <c r="I5" s="15" t="inlineStr">
        <is>
          <t>—</t>
        </is>
      </c>
    </row>
    <row r="6" ht="35.05" customHeight="1" s="11">
      <c r="A6" s="15" t="inlineStr">
        <is>
          <t>Stroke</t>
        </is>
      </c>
      <c r="B6" s="15" t="inlineStr">
        <is>
          <t>hemorrhagic_stroke</t>
        </is>
      </c>
      <c r="C6" s="15" t="inlineStr">
        <is>
          <t>Secondary</t>
        </is>
      </c>
      <c r="D6" s="15" t="inlineStr">
        <is>
          <t>Hemorrhagic stroke</t>
        </is>
      </c>
      <c r="E6" s="15" t="inlineStr">
        <is>
          <t>AHA/ASA updated definition of stroke (Sacco RL et al., Stroke 2013)</t>
        </is>
      </c>
      <c r="F6" s="15" t="inlineStr">
        <is>
          <t>ICD-10: I6[0-3], G45\.[0-389]
ICD-9: 43[0-2], 433\.\d1, 434\.\d1, 435, 436</t>
        </is>
      </c>
      <c r="G6" s="15" t="inlineStr">
        <is>
          <t>Confirmed stroke event with subtype hemorrhagic; ischemic, tia = known non-event; other/unknown subtype = unresolved</t>
        </is>
      </c>
      <c r="H6" s="15" t="inlineStr">
        <is>
          <t>30d, 1y, 5y</t>
        </is>
      </c>
      <c r="I6" s="15" t="inlineStr">
        <is>
          <t>—</t>
        </is>
      </c>
    </row>
    <row r="7" ht="35.05" customHeight="1" s="11">
      <c r="A7" s="15" t="inlineStr">
        <is>
          <t>Stroke</t>
        </is>
      </c>
      <c r="B7" s="15" t="inlineStr">
        <is>
          <t>tia</t>
        </is>
      </c>
      <c r="C7" s="15" t="inlineStr">
        <is>
          <t>Secondary</t>
        </is>
      </c>
      <c r="D7" s="15" t="inlineStr">
        <is>
          <t>Transient ischemic attack</t>
        </is>
      </c>
      <c r="E7" s="15" t="inlineStr">
        <is>
          <t>AHA/ASA updated definition of stroke (Sacco RL et al., Stroke 2013)</t>
        </is>
      </c>
      <c r="F7" s="15" t="inlineStr">
        <is>
          <t>ICD-10: I6[0-3], G45\.[0-389]
ICD-9: 43[0-2], 433\.\d1, 434\.\d1, 435, 436</t>
        </is>
      </c>
      <c r="G7" s="15" t="inlineStr">
        <is>
          <t>Confirmed stroke event with subtype tia; hemorrhagic, ischemic = known non-event; other/unknown subtype = unresolved</t>
        </is>
      </c>
      <c r="H7" s="15" t="inlineStr">
        <is>
          <t>30d, 1y, 5y</t>
        </is>
      </c>
      <c r="I7" s="15" t="inlineStr">
        <is>
          <t>—</t>
        </is>
      </c>
    </row>
    <row r="8" ht="23.85" customHeight="1" s="11">
      <c r="A8" s="15" t="inlineStr">
        <is>
          <t>Heart failure</t>
        </is>
      </c>
      <c r="B8" s="15" t="inlineStr">
        <is>
          <t>hf</t>
        </is>
      </c>
      <c r="C8" s="15" t="inlineStr">
        <is>
          <t>Primary</t>
        </is>
      </c>
      <c r="D8" s="15" t="inlineStr">
        <is>
          <t>Heart failure hospitalization / diagnosis</t>
        </is>
      </c>
      <c r="E8" s="15" t="inlineStr">
        <is>
          <t>Universal Definition of Heart Failure (Bozkurt B et al., J Card Fail 2021)</t>
        </is>
      </c>
      <c r="F8" s="15" t="inlineStr">
        <is>
          <t>ICD-10: I50, I11\.0, I13\.0, I13\.2
ICD-9: 428, 402\.\d1, 404\.\d[13]</t>
        </is>
      </c>
      <c r="G8" s="15" t="inlineStr">
        <is>
          <t>Any confirmed heart failure event, any subtype</t>
        </is>
      </c>
      <c r="H8" s="15" t="inlineStr">
        <is>
          <t>30d, 1y, 5y</t>
        </is>
      </c>
      <c r="I8" s="15" t="inlineStr">
        <is>
          <t>5y</t>
        </is>
      </c>
    </row>
    <row r="9" ht="23.85" customHeight="1" s="11">
      <c r="A9" s="15" t="inlineStr">
        <is>
          <t>Heart failure</t>
        </is>
      </c>
      <c r="B9" s="15" t="inlineStr">
        <is>
          <t>hfref</t>
        </is>
      </c>
      <c r="C9" s="15" t="inlineStr">
        <is>
          <t>Secondary</t>
        </is>
      </c>
      <c r="D9" s="15" t="inlineStr">
        <is>
          <t>HFrEF</t>
        </is>
      </c>
      <c r="E9" s="15" t="inlineStr">
        <is>
          <t>Universal Definition of Heart Failure (Bozkurt B et al., J Card Fail 2021)</t>
        </is>
      </c>
      <c r="F9" s="15" t="inlineStr">
        <is>
          <t>ICD-10: I50, I11\.0, I13\.0, I13\.2
ICD-9: 428, 402\.\d1, 404\.\d[13]</t>
        </is>
      </c>
      <c r="G9" s="15" t="inlineStr">
        <is>
          <t>Confirmed hf event with subtype hfref; hfmref, hfpef = known non-event; other/unknown subtype = unresolved</t>
        </is>
      </c>
      <c r="H9" s="15" t="inlineStr">
        <is>
          <t>30d, 1y, 5y</t>
        </is>
      </c>
      <c r="I9" s="15" t="inlineStr">
        <is>
          <t>—</t>
        </is>
      </c>
    </row>
    <row r="10" ht="23.85" customHeight="1" s="11">
      <c r="A10" s="15" t="inlineStr">
        <is>
          <t>Heart failure</t>
        </is>
      </c>
      <c r="B10" s="15" t="inlineStr">
        <is>
          <t>hfpef</t>
        </is>
      </c>
      <c r="C10" s="15" t="inlineStr">
        <is>
          <t>Secondary</t>
        </is>
      </c>
      <c r="D10" s="15" t="inlineStr">
        <is>
          <t>HFpEF</t>
        </is>
      </c>
      <c r="E10" s="15" t="inlineStr">
        <is>
          <t>Universal Definition of Heart Failure (Bozkurt B et al., J Card Fail 2021)</t>
        </is>
      </c>
      <c r="F10" s="15" t="inlineStr">
        <is>
          <t>ICD-10: I50, I11\.0, I13\.0, I13\.2
ICD-9: 428, 402\.\d1, 404\.\d[13]</t>
        </is>
      </c>
      <c r="G10" s="15" t="inlineStr">
        <is>
          <t>Confirmed hf event with subtype hfpef; hfmref, hfref = known non-event; other/unknown subtype = unresolved</t>
        </is>
      </c>
      <c r="H10" s="15" t="inlineStr">
        <is>
          <t>30d, 1y, 5y</t>
        </is>
      </c>
      <c r="I10" s="15" t="inlineStr">
        <is>
          <t>—</t>
        </is>
      </c>
    </row>
    <row r="11" ht="23.85" customHeight="1" s="11">
      <c r="A11" s="15" t="inlineStr">
        <is>
          <t>SCD</t>
        </is>
      </c>
      <c r="B11" s="15" t="inlineStr">
        <is>
          <t>scd</t>
        </is>
      </c>
      <c r="C11" s="15" t="inlineStr">
        <is>
          <t>Primary</t>
        </is>
      </c>
      <c r="D11" s="15" t="inlineStr">
        <is>
          <t>Cardiac arrest / VF / sustained VT</t>
        </is>
      </c>
      <c r="E11" s="15" t="inlineStr">
        <is>
          <t>2017 AHA/ACC/HRS Ventricular Arrhythmia and SCD Guideline definitions</t>
        </is>
      </c>
      <c r="F11" s="15" t="inlineStr">
        <is>
          <t>ICD-10: I46, I49\.0, I47\.2
ICD-9: 427\.5, 427\.4, 427\.1</t>
        </is>
      </c>
      <c r="G11" s="15" t="inlineStr">
        <is>
          <t>Any confirmed sudden cardiac arrest / ventricular arrhythmia event, any subtype</t>
        </is>
      </c>
      <c r="H11" s="15" t="inlineStr">
        <is>
          <t>30d, 1y, 5y</t>
        </is>
      </c>
      <c r="I11" s="15" t="inlineStr">
        <is>
          <t>5y</t>
        </is>
      </c>
    </row>
    <row r="12" ht="35.05" customHeight="1" s="11">
      <c r="A12" s="15" t="inlineStr">
        <is>
          <t>AF</t>
        </is>
      </c>
      <c r="B12" s="15" t="inlineStr">
        <is>
          <t>af</t>
        </is>
      </c>
      <c r="C12" s="15" t="inlineStr">
        <is>
          <t>Primary</t>
        </is>
      </c>
      <c r="D12" s="15" t="inlineStr">
        <is>
          <t>New-onset atrial fibrillation / flutter</t>
        </is>
      </c>
      <c r="E12" s="15" t="inlineStr">
        <is>
          <t>2023 ACC/AHA/ACCP/HRS AF Guideline: ECG-documented AF ≥30 s</t>
        </is>
      </c>
      <c r="F12" s="15" t="inlineStr">
        <is>
          <t>ICD-10: I48
ICD-9: 427\.3</t>
        </is>
      </c>
      <c r="G12" s="15" t="inlineStr">
        <is>
          <t>Confirmed new AF or flutter. Post-operative AF excluded (af_exclude_postoperative = true); patients with AF before index not eligible</t>
        </is>
      </c>
      <c r="H12" s="15" t="inlineStr">
        <is>
          <t>30d, 1y, 5y</t>
        </is>
      </c>
      <c r="I12" s="15" t="inlineStr">
        <is>
          <t>5y</t>
        </is>
      </c>
    </row>
  </sheetData>
  <autoFilter ref="A2:I12"/>
  <mergeCells count="1">
    <mergeCell ref="A1:I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N35"/>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6" customWidth="1" style="10" min="1" max="1"/>
    <col width="30" customWidth="1" style="10" min="2" max="2"/>
    <col width="13" customWidth="1" style="10" min="3" max="3"/>
    <col width="9" customWidth="1" style="10" min="4" max="4"/>
    <col width="22" customWidth="1" style="10" min="5" max="5"/>
    <col width="9" customWidth="1" style="10" min="6" max="6"/>
    <col width="15" customWidth="1" style="10" min="7" max="7"/>
    <col width="6" customWidth="1" style="10" min="8" max="8"/>
    <col width="7" customWidth="1" style="10" min="9" max="9"/>
    <col width="6" customWidth="1" style="10" min="10" max="12"/>
    <col width="28" customWidth="1" style="10" min="13" max="13"/>
    <col width="60" customWidth="1" style="10" min="14" max="14"/>
  </cols>
  <sheetData>
    <row r="1" ht="30" customHeight="1" s="11">
      <c r="A1" s="20" t="inlineStr">
        <is>
          <t>Inputs entered in the Render app and extracted the same way from OMOP for training. Missing optional values are handled natively by the models. Y = shown on that calculator's form.</t>
        </is>
      </c>
    </row>
    <row r="2" ht="23.85" customHeight="1" s="11">
      <c r="A2" s="14" t="inlineStr">
        <is>
          <t>Input key</t>
        </is>
      </c>
      <c r="B2" s="14" t="inlineStr">
        <is>
          <t>Label</t>
        </is>
      </c>
      <c r="C2" s="14" t="inlineStr">
        <is>
          <t>Unit</t>
        </is>
      </c>
      <c r="D2" s="14" t="inlineStr">
        <is>
          <t>Type</t>
        </is>
      </c>
      <c r="E2" s="14" t="inlineStr">
        <is>
          <t>Allowed range / options</t>
        </is>
      </c>
      <c r="F2" s="14" t="inlineStr">
        <is>
          <t>Required</t>
        </is>
      </c>
      <c r="G2" s="14" t="inlineStr">
        <is>
          <t>Section</t>
        </is>
      </c>
      <c r="H2" s="14" t="inlineStr">
        <is>
          <t>AMI</t>
        </is>
      </c>
      <c r="I2" s="14" t="inlineStr">
        <is>
          <t>Stroke</t>
        </is>
      </c>
      <c r="J2" s="14" t="inlineStr">
        <is>
          <t>HF</t>
        </is>
      </c>
      <c r="K2" s="14" t="inlineStr">
        <is>
          <t>SCD</t>
        </is>
      </c>
      <c r="L2" s="14" t="inlineStr">
        <is>
          <t>AF</t>
        </is>
      </c>
      <c r="M2" s="14" t="inlineStr">
        <is>
          <t>Model features derived</t>
        </is>
      </c>
      <c r="N2" s="14" t="inlineStr">
        <is>
          <t>Source on Mayo Clinic Platform (training)</t>
        </is>
      </c>
    </row>
    <row r="3" ht="23.85" customHeight="1" s="11">
      <c r="A3" s="15" t="inlineStr">
        <is>
          <t>age</t>
        </is>
      </c>
      <c r="B3" s="15" t="inlineStr">
        <is>
          <t>Age</t>
        </is>
      </c>
      <c r="C3" s="15" t="inlineStr">
        <is>
          <t>years</t>
        </is>
      </c>
      <c r="D3" s="15" t="inlineStr">
        <is>
          <t>number</t>
        </is>
      </c>
      <c r="E3" s="15" t="inlineStr">
        <is>
          <t>18–89 (adults only; under 18 refused)</t>
        </is>
      </c>
      <c r="F3" s="15" t="inlineStr">
        <is>
          <t>Yes</t>
        </is>
      </c>
      <c r="G3" s="15" t="inlineStr">
        <is>
          <t>Demographics</t>
        </is>
      </c>
      <c r="H3" s="15" t="inlineStr">
        <is>
          <t>Y</t>
        </is>
      </c>
      <c r="I3" s="15" t="inlineStr">
        <is>
          <t>Y</t>
        </is>
      </c>
      <c r="J3" s="15" t="inlineStr">
        <is>
          <t>Y</t>
        </is>
      </c>
      <c r="K3" s="15" t="inlineStr">
        <is>
          <t>Y</t>
        </is>
      </c>
      <c r="L3" s="15" t="inlineStr">
        <is>
          <t>Y</t>
        </is>
      </c>
      <c r="M3" s="15" t="inlineStr">
        <is>
          <t>age</t>
        </is>
      </c>
      <c r="N3" s="15" t="inlineStr">
        <is>
          <t>OMOP person (birth date, gender, race, ethnicity; Hispanic ethnicity → hispanic)</t>
        </is>
      </c>
    </row>
    <row r="4" ht="23.85" customHeight="1" s="11">
      <c r="A4" s="15" t="inlineStr">
        <is>
          <t>sex</t>
        </is>
      </c>
      <c r="B4" s="15" t="inlineStr">
        <is>
          <t>Sex</t>
        </is>
      </c>
      <c r="C4" s="15" t="n"/>
      <c r="D4" s="15" t="inlineStr">
        <is>
          <t>select</t>
        </is>
      </c>
      <c r="E4" s="15" t="inlineStr">
        <is>
          <t>male, female</t>
        </is>
      </c>
      <c r="F4" s="15" t="inlineStr">
        <is>
          <t>Yes</t>
        </is>
      </c>
      <c r="G4" s="15" t="inlineStr">
        <is>
          <t>Demographics</t>
        </is>
      </c>
      <c r="H4" s="15" t="inlineStr">
        <is>
          <t>Y</t>
        </is>
      </c>
      <c r="I4" s="15" t="inlineStr">
        <is>
          <t>Y</t>
        </is>
      </c>
      <c r="J4" s="15" t="inlineStr">
        <is>
          <t>Y</t>
        </is>
      </c>
      <c r="K4" s="15" t="inlineStr">
        <is>
          <t>Y</t>
        </is>
      </c>
      <c r="L4" s="15" t="inlineStr">
        <is>
          <t>Y</t>
        </is>
      </c>
      <c r="M4" s="15" t="inlineStr">
        <is>
          <t>sex_male</t>
        </is>
      </c>
      <c r="N4" s="15" t="inlineStr">
        <is>
          <t>OMOP person (birth date, gender, race, ethnicity; Hispanic ethnicity → hispanic)</t>
        </is>
      </c>
    </row>
    <row r="5" ht="23.85" customHeight="1" s="11">
      <c r="A5" s="15" t="inlineStr">
        <is>
          <t>race</t>
        </is>
      </c>
      <c r="B5" s="15" t="inlineStr">
        <is>
          <t>Race/Ethnicity</t>
        </is>
      </c>
      <c r="C5" s="15" t="n"/>
      <c r="D5" s="15" t="inlineStr">
        <is>
          <t>select</t>
        </is>
      </c>
      <c r="E5" s="15" t="inlineStr">
        <is>
          <t>white, black, hispanic, asian, other</t>
        </is>
      </c>
      <c r="F5" s="15" t="inlineStr">
        <is>
          <t>Yes</t>
        </is>
      </c>
      <c r="G5" s="15" t="inlineStr">
        <is>
          <t>Demographics</t>
        </is>
      </c>
      <c r="H5" s="15" t="inlineStr">
        <is>
          <t>Y</t>
        </is>
      </c>
      <c r="I5" s="15" t="inlineStr">
        <is>
          <t>Y</t>
        </is>
      </c>
      <c r="J5" s="15" t="inlineStr">
        <is>
          <t>Y</t>
        </is>
      </c>
      <c r="K5" s="15" t="inlineStr">
        <is>
          <t>Y</t>
        </is>
      </c>
      <c r="L5" s="15" t="inlineStr">
        <is>
          <t>Y</t>
        </is>
      </c>
      <c r="M5" s="15" t="inlineStr">
        <is>
          <t>race_black, race_hispanic, race_asian, race_other</t>
        </is>
      </c>
      <c r="N5" s="15" t="inlineStr">
        <is>
          <t>OMOP person (birth date, gender, race, ethnicity; Hispanic ethnicity → hispanic)</t>
        </is>
      </c>
    </row>
    <row r="6" ht="23.85" customHeight="1" s="11">
      <c r="A6" s="15" t="inlineStr">
        <is>
          <t>height_cm</t>
        </is>
      </c>
      <c r="B6" s="15" t="inlineStr">
        <is>
          <t>Height</t>
        </is>
      </c>
      <c r="C6" s="15" t="inlineStr">
        <is>
          <t>cm</t>
        </is>
      </c>
      <c r="D6" s="15" t="inlineStr">
        <is>
          <t>number</t>
        </is>
      </c>
      <c r="E6" s="15" t="inlineStr">
        <is>
          <t>120–220</t>
        </is>
      </c>
      <c r="F6" s="15" t="inlineStr">
        <is>
          <t>No</t>
        </is>
      </c>
      <c r="G6" s="15" t="inlineStr">
        <is>
          <t>Demographics</t>
        </is>
      </c>
      <c r="H6" s="15" t="inlineStr">
        <is>
          <t>Y</t>
        </is>
      </c>
      <c r="I6" s="15" t="inlineStr">
        <is>
          <t>Y</t>
        </is>
      </c>
      <c r="J6" s="15" t="inlineStr">
        <is>
          <t>Y</t>
        </is>
      </c>
      <c r="K6" s="15" t="inlineStr">
        <is>
          <t>Y</t>
        </is>
      </c>
      <c r="L6" s="15" t="inlineStr">
        <is>
          <t>Y</t>
        </is>
      </c>
      <c r="M6" s="15" t="inlineStr">
        <is>
          <t>height_cm, bmi</t>
        </is>
      </c>
      <c r="N6" s="15" t="inlineStr">
        <is>
          <t>OMOP measurement, LOINC 8302-2, 3137-7; latest value ≤730 d before index</t>
        </is>
      </c>
    </row>
    <row r="7" ht="23.85" customHeight="1" s="11">
      <c r="A7" s="15" t="inlineStr">
        <is>
          <t>weight_kg</t>
        </is>
      </c>
      <c r="B7" s="15" t="inlineStr">
        <is>
          <t>Weight</t>
        </is>
      </c>
      <c r="C7" s="15" t="inlineStr">
        <is>
          <t>kg</t>
        </is>
      </c>
      <c r="D7" s="15" t="inlineStr">
        <is>
          <t>number</t>
        </is>
      </c>
      <c r="E7" s="15" t="inlineStr">
        <is>
          <t>30–300</t>
        </is>
      </c>
      <c r="F7" s="15" t="inlineStr">
        <is>
          <t>No</t>
        </is>
      </c>
      <c r="G7" s="15" t="inlineStr">
        <is>
          <t>Demographics</t>
        </is>
      </c>
      <c r="H7" s="15" t="inlineStr">
        <is>
          <t>Y</t>
        </is>
      </c>
      <c r="I7" s="15" t="inlineStr">
        <is>
          <t>Y</t>
        </is>
      </c>
      <c r="J7" s="15" t="inlineStr">
        <is>
          <t>Y</t>
        </is>
      </c>
      <c r="K7" s="15" t="inlineStr">
        <is>
          <t>Y</t>
        </is>
      </c>
      <c r="L7" s="15" t="inlineStr">
        <is>
          <t>Y</t>
        </is>
      </c>
      <c r="M7" s="15" t="inlineStr">
        <is>
          <t>weight_kg, bmi</t>
        </is>
      </c>
      <c r="N7" s="15" t="inlineStr">
        <is>
          <t>OMOP measurement, LOINC 29463-7, 3141-9; latest value ≤730 d before index</t>
        </is>
      </c>
    </row>
    <row r="8" ht="23.85" customHeight="1" s="11">
      <c r="A8" s="15" t="inlineStr">
        <is>
          <t>prior_mi</t>
        </is>
      </c>
      <c r="B8" s="15" t="inlineStr">
        <is>
          <t>Prior MI</t>
        </is>
      </c>
      <c r="C8" s="15" t="n"/>
      <c r="D8" s="15" t="inlineStr">
        <is>
          <t>bool</t>
        </is>
      </c>
      <c r="E8" s="15" t="inlineStr">
        <is>
          <t>yes / no</t>
        </is>
      </c>
      <c r="F8" s="15" t="inlineStr">
        <is>
          <t>No</t>
        </is>
      </c>
      <c r="G8" s="15" t="inlineStr">
        <is>
          <t>Clinical history</t>
        </is>
      </c>
      <c r="H8" s="15" t="inlineStr">
        <is>
          <t>Y</t>
        </is>
      </c>
      <c r="I8" s="15" t="inlineStr">
        <is>
          <t>Y</t>
        </is>
      </c>
      <c r="J8" s="15" t="inlineStr">
        <is>
          <t>Y</t>
        </is>
      </c>
      <c r="K8" s="15" t="inlineStr">
        <is>
          <t>Y</t>
        </is>
      </c>
      <c r="L8" s="15" t="inlineStr">
        <is>
          <t>Y</t>
        </is>
      </c>
      <c r="M8" s="15" t="inlineStr">
        <is>
          <t>prior_mi</t>
        </is>
      </c>
      <c r="N8" s="15" t="inlineStr">
        <is>
          <t>OMOP condition_occurrence / observation on or before index: ICD-10 I21, I22, I25\.2; ICD-9 410, 412</t>
        </is>
      </c>
    </row>
    <row r="9" ht="23.85" customHeight="1" s="11">
      <c r="A9" s="15" t="inlineStr">
        <is>
          <t>prior_stroke</t>
        </is>
      </c>
      <c r="B9" s="15" t="inlineStr">
        <is>
          <t>Prior Stroke/TIA</t>
        </is>
      </c>
      <c r="C9" s="15" t="n"/>
      <c r="D9" s="15" t="inlineStr">
        <is>
          <t>bool</t>
        </is>
      </c>
      <c r="E9" s="15" t="inlineStr">
        <is>
          <t>yes / no</t>
        </is>
      </c>
      <c r="F9" s="15" t="inlineStr">
        <is>
          <t>No</t>
        </is>
      </c>
      <c r="G9" s="15" t="inlineStr">
        <is>
          <t>Clinical history</t>
        </is>
      </c>
      <c r="H9" s="15" t="inlineStr">
        <is>
          <t>Y</t>
        </is>
      </c>
      <c r="I9" s="15" t="inlineStr">
        <is>
          <t>Y</t>
        </is>
      </c>
      <c r="J9" s="15" t="inlineStr">
        <is>
          <t>Y</t>
        </is>
      </c>
      <c r="K9" s="15" t="inlineStr">
        <is>
          <t>Y</t>
        </is>
      </c>
      <c r="L9" s="15" t="inlineStr">
        <is>
          <t>Y</t>
        </is>
      </c>
      <c r="M9" s="15" t="inlineStr">
        <is>
          <t>prior_stroke</t>
        </is>
      </c>
      <c r="N9" s="15" t="inlineStr">
        <is>
          <t>OMOP condition_occurrence / observation on or before index: ICD-10 I6[0-3], G45, Z86\.73; ICD-9 43[0-6], V12\.54</t>
        </is>
      </c>
    </row>
    <row r="10" ht="23.85" customHeight="1" s="11">
      <c r="A10" s="15" t="inlineStr">
        <is>
          <t>angina</t>
        </is>
      </c>
      <c r="B10" s="15" t="inlineStr">
        <is>
          <t>Angina</t>
        </is>
      </c>
      <c r="C10" s="15" t="n"/>
      <c r="D10" s="15" t="inlineStr">
        <is>
          <t>bool</t>
        </is>
      </c>
      <c r="E10" s="15" t="inlineStr">
        <is>
          <t>yes / no</t>
        </is>
      </c>
      <c r="F10" s="15" t="inlineStr">
        <is>
          <t>No</t>
        </is>
      </c>
      <c r="G10" s="15" t="inlineStr">
        <is>
          <t>Clinical history</t>
        </is>
      </c>
      <c r="H10" s="15" t="inlineStr">
        <is>
          <t>Y</t>
        </is>
      </c>
      <c r="I10" s="15" t="inlineStr">
        <is>
          <t>Y</t>
        </is>
      </c>
      <c r="J10" s="15" t="inlineStr">
        <is>
          <t>Y</t>
        </is>
      </c>
      <c r="K10" s="15" t="inlineStr">
        <is>
          <t>Y</t>
        </is>
      </c>
      <c r="L10" s="15" t="inlineStr">
        <is>
          <t>Y</t>
        </is>
      </c>
      <c r="M10" s="15" t="inlineStr">
        <is>
          <t>angina</t>
        </is>
      </c>
      <c r="N10" s="15" t="inlineStr">
        <is>
          <t>OMOP condition_occurrence / observation on or before index: ICD-10 I20; ICD-9 413</t>
        </is>
      </c>
    </row>
    <row r="11" ht="23.85" customHeight="1" s="11">
      <c r="A11" s="15" t="inlineStr">
        <is>
          <t>heart_failure</t>
        </is>
      </c>
      <c r="B11" s="15" t="inlineStr">
        <is>
          <t>Heart Failure</t>
        </is>
      </c>
      <c r="C11" s="15" t="n"/>
      <c r="D11" s="15" t="inlineStr">
        <is>
          <t>bool</t>
        </is>
      </c>
      <c r="E11" s="15" t="inlineStr">
        <is>
          <t>yes / no</t>
        </is>
      </c>
      <c r="F11" s="15" t="inlineStr">
        <is>
          <t>No</t>
        </is>
      </c>
      <c r="G11" s="15" t="inlineStr">
        <is>
          <t>Clinical history</t>
        </is>
      </c>
      <c r="H11" s="15" t="inlineStr">
        <is>
          <t>Y</t>
        </is>
      </c>
      <c r="I11" s="15" t="inlineStr">
        <is>
          <t>Y</t>
        </is>
      </c>
      <c r="J11" s="15" t="inlineStr">
        <is>
          <t>Y</t>
        </is>
      </c>
      <c r="K11" s="15" t="inlineStr">
        <is>
          <t>Y</t>
        </is>
      </c>
      <c r="L11" s="15" t="inlineStr">
        <is>
          <t>Y</t>
        </is>
      </c>
      <c r="M11" s="15" t="inlineStr">
        <is>
          <t>heart_failure</t>
        </is>
      </c>
      <c r="N11" s="15" t="inlineStr">
        <is>
          <t>OMOP condition_occurrence / observation on or before index: ICD-10 I50, I11\.0, I13\.0, I13\.2; ICD-9 428</t>
        </is>
      </c>
    </row>
    <row r="12" ht="23.85" customHeight="1" s="11">
      <c r="A12" s="15" t="inlineStr">
        <is>
          <t>afib</t>
        </is>
      </c>
      <c r="B12" s="15" t="inlineStr">
        <is>
          <t>Atrial Fibrillation</t>
        </is>
      </c>
      <c r="C12" s="15" t="n"/>
      <c r="D12" s="15" t="inlineStr">
        <is>
          <t>bool</t>
        </is>
      </c>
      <c r="E12" s="15" t="inlineStr">
        <is>
          <t>yes / no</t>
        </is>
      </c>
      <c r="F12" s="15" t="inlineStr">
        <is>
          <t>No</t>
        </is>
      </c>
      <c r="G12" s="15" t="inlineStr">
        <is>
          <t>Clinical history</t>
        </is>
      </c>
      <c r="H12" s="15" t="inlineStr">
        <is>
          <t>Y</t>
        </is>
      </c>
      <c r="I12" s="15" t="inlineStr">
        <is>
          <t>Y</t>
        </is>
      </c>
      <c r="J12" s="15" t="inlineStr">
        <is>
          <t>Y</t>
        </is>
      </c>
      <c r="K12" s="15" t="inlineStr">
        <is>
          <t>Y</t>
        </is>
      </c>
      <c r="L12" s="15" t="inlineStr">
        <is>
          <t>Y</t>
        </is>
      </c>
      <c r="M12" s="15" t="inlineStr">
        <is>
          <t>afib</t>
        </is>
      </c>
      <c r="N12" s="15" t="inlineStr">
        <is>
          <t>OMOP condition_occurrence / observation on or before index: ICD-10 I48; ICD-9 427\.3</t>
        </is>
      </c>
    </row>
    <row r="13" ht="23.85" customHeight="1" s="11">
      <c r="A13" s="15" t="inlineStr">
        <is>
          <t>family_hx_cad</t>
        </is>
      </c>
      <c r="B13" s="15" t="inlineStr">
        <is>
          <t>Family History CAD</t>
        </is>
      </c>
      <c r="C13" s="15" t="n"/>
      <c r="D13" s="15" t="inlineStr">
        <is>
          <t>bool</t>
        </is>
      </c>
      <c r="E13" s="15" t="inlineStr">
        <is>
          <t>yes / no</t>
        </is>
      </c>
      <c r="F13" s="15" t="inlineStr">
        <is>
          <t>No</t>
        </is>
      </c>
      <c r="G13" s="15" t="inlineStr">
        <is>
          <t>Clinical history</t>
        </is>
      </c>
      <c r="H13" s="15" t="inlineStr">
        <is>
          <t>Y</t>
        </is>
      </c>
      <c r="I13" s="15" t="inlineStr">
        <is>
          <t>Y</t>
        </is>
      </c>
      <c r="J13" s="15" t="inlineStr">
        <is>
          <t>Y</t>
        </is>
      </c>
      <c r="K13" s="15" t="inlineStr">
        <is>
          <t>Y</t>
        </is>
      </c>
      <c r="L13" s="15" t="inlineStr">
        <is>
          <t>Y</t>
        </is>
      </c>
      <c r="M13" s="15" t="inlineStr">
        <is>
          <t>family_hx_cad</t>
        </is>
      </c>
      <c r="N13" s="15" t="inlineStr">
        <is>
          <t>OMOP condition_occurrence / observation on or before index: ICD-10 Z82\.49; ICD-9 V17\.3</t>
        </is>
      </c>
    </row>
    <row r="14" ht="23.85" customHeight="1" s="11">
      <c r="A14" s="15" t="inlineStr">
        <is>
          <t>hypertension</t>
        </is>
      </c>
      <c r="B14" s="15" t="inlineStr">
        <is>
          <t>Hypertension diagnosis</t>
        </is>
      </c>
      <c r="C14" s="15" t="n"/>
      <c r="D14" s="15" t="inlineStr">
        <is>
          <t>bool</t>
        </is>
      </c>
      <c r="E14" s="15" t="inlineStr">
        <is>
          <t>yes / no</t>
        </is>
      </c>
      <c r="F14" s="15" t="inlineStr">
        <is>
          <t>No</t>
        </is>
      </c>
      <c r="G14" s="15" t="inlineStr">
        <is>
          <t>Clinical history</t>
        </is>
      </c>
      <c r="H14" s="15" t="inlineStr">
        <is>
          <t>Y</t>
        </is>
      </c>
      <c r="I14" s="15" t="inlineStr">
        <is>
          <t>Y</t>
        </is>
      </c>
      <c r="J14" s="15" t="inlineStr">
        <is>
          <t>Y</t>
        </is>
      </c>
      <c r="K14" s="15" t="inlineStr">
        <is>
          <t>Y</t>
        </is>
      </c>
      <c r="L14" s="15" t="inlineStr">
        <is>
          <t>Y</t>
        </is>
      </c>
      <c r="M14" s="15" t="inlineStr">
        <is>
          <t>hypertension</t>
        </is>
      </c>
      <c r="N14" s="15" t="inlineStr">
        <is>
          <t>OMOP condition_occurrence / observation on or before index: ICD-10 I1[0-6]; ICD-9 40[1-5]</t>
        </is>
      </c>
    </row>
    <row r="15" ht="23.85" customHeight="1" s="11">
      <c r="A15" s="15" t="inlineStr">
        <is>
          <t>pad</t>
        </is>
      </c>
      <c r="B15" s="15" t="inlineStr">
        <is>
          <t>Peripheral artery disease</t>
        </is>
      </c>
      <c r="C15" s="15" t="n"/>
      <c r="D15" s="15" t="inlineStr">
        <is>
          <t>bool</t>
        </is>
      </c>
      <c r="E15" s="15" t="inlineStr">
        <is>
          <t>yes / no</t>
        </is>
      </c>
      <c r="F15" s="15" t="inlineStr">
        <is>
          <t>No</t>
        </is>
      </c>
      <c r="G15" s="15" t="inlineStr">
        <is>
          <t>Clinical history</t>
        </is>
      </c>
      <c r="H15" s="15" t="inlineStr">
        <is>
          <t>Y</t>
        </is>
      </c>
      <c r="I15" s="15" t="inlineStr">
        <is>
          <t>Y</t>
        </is>
      </c>
      <c r="J15" s="15" t="inlineStr">
        <is>
          <t>Y</t>
        </is>
      </c>
      <c r="K15" s="15" t="inlineStr">
        <is>
          <t>Y</t>
        </is>
      </c>
      <c r="L15" s="15" t="inlineStr">
        <is>
          <t>Y</t>
        </is>
      </c>
      <c r="M15" s="15" t="inlineStr">
        <is>
          <t>pad</t>
        </is>
      </c>
      <c r="N15" s="15" t="inlineStr">
        <is>
          <t>OMOP condition_occurrence / observation on or before index: ICD-10 I70\.2, I73\.9; ICD-9 440\.2, 443\.9</t>
        </is>
      </c>
    </row>
    <row r="16" ht="23.85" customHeight="1" s="11">
      <c r="A16" s="15" t="inlineStr">
        <is>
          <t>sbp</t>
        </is>
      </c>
      <c r="B16" s="15" t="inlineStr">
        <is>
          <t>Systolic BP</t>
        </is>
      </c>
      <c r="C16" s="15" t="inlineStr">
        <is>
          <t>mmHg</t>
        </is>
      </c>
      <c r="D16" s="15" t="inlineStr">
        <is>
          <t>number</t>
        </is>
      </c>
      <c r="E16" s="15" t="inlineStr">
        <is>
          <t>70–250</t>
        </is>
      </c>
      <c r="F16" s="15" t="inlineStr">
        <is>
          <t>Yes</t>
        </is>
      </c>
      <c r="G16" s="15" t="inlineStr">
        <is>
          <t>Risk factors</t>
        </is>
      </c>
      <c r="H16" s="15" t="inlineStr">
        <is>
          <t>Y</t>
        </is>
      </c>
      <c r="I16" s="15" t="inlineStr">
        <is>
          <t>Y</t>
        </is>
      </c>
      <c r="J16" s="15" t="inlineStr">
        <is>
          <t>Y</t>
        </is>
      </c>
      <c r="K16" s="15" t="inlineStr">
        <is>
          <t>Y</t>
        </is>
      </c>
      <c r="L16" s="15" t="inlineStr">
        <is>
          <t>Y</t>
        </is>
      </c>
      <c r="M16" s="15" t="inlineStr">
        <is>
          <t>sbp</t>
        </is>
      </c>
      <c r="N16" s="15" t="inlineStr">
        <is>
          <t>OMOP measurement, LOINC 8480-6, 8459-0; latest value ≤730 d before index</t>
        </is>
      </c>
    </row>
    <row r="17" ht="23.85" customHeight="1" s="11">
      <c r="A17" s="15" t="inlineStr">
        <is>
          <t>dbp</t>
        </is>
      </c>
      <c r="B17" s="15" t="inlineStr">
        <is>
          <t>Diastolic BP</t>
        </is>
      </c>
      <c r="C17" s="15" t="inlineStr">
        <is>
          <t>mmHg</t>
        </is>
      </c>
      <c r="D17" s="15" t="inlineStr">
        <is>
          <t>number</t>
        </is>
      </c>
      <c r="E17" s="15" t="inlineStr">
        <is>
          <t>40–150</t>
        </is>
      </c>
      <c r="F17" s="15" t="inlineStr">
        <is>
          <t>No</t>
        </is>
      </c>
      <c r="G17" s="15" t="inlineStr">
        <is>
          <t>Risk factors</t>
        </is>
      </c>
      <c r="H17" s="15" t="inlineStr">
        <is>
          <t>Y</t>
        </is>
      </c>
      <c r="I17" s="15" t="inlineStr">
        <is>
          <t>Y</t>
        </is>
      </c>
      <c r="J17" s="15" t="inlineStr">
        <is>
          <t>Y</t>
        </is>
      </c>
      <c r="K17" s="15" t="inlineStr">
        <is>
          <t>Y</t>
        </is>
      </c>
      <c r="L17" s="15" t="inlineStr">
        <is>
          <t>Y</t>
        </is>
      </c>
      <c r="M17" s="15" t="inlineStr">
        <is>
          <t>dbp</t>
        </is>
      </c>
      <c r="N17" s="15" t="inlineStr">
        <is>
          <t>OMOP measurement, LOINC 8462-4, 8453-3; latest value ≤730 d before index</t>
        </is>
      </c>
    </row>
    <row r="18" ht="23.85" customHeight="1" s="11">
      <c r="A18" s="15" t="inlineStr">
        <is>
          <t>smoking</t>
        </is>
      </c>
      <c r="B18" s="15" t="inlineStr">
        <is>
          <t>Smoking Status</t>
        </is>
      </c>
      <c r="C18" s="15" t="n"/>
      <c r="D18" s="15" t="inlineStr">
        <is>
          <t>select</t>
        </is>
      </c>
      <c r="E18" s="15" t="inlineStr">
        <is>
          <t>never, former, current</t>
        </is>
      </c>
      <c r="F18" s="15" t="inlineStr">
        <is>
          <t>No</t>
        </is>
      </c>
      <c r="G18" s="15" t="inlineStr">
        <is>
          <t>Risk factors</t>
        </is>
      </c>
      <c r="H18" s="15" t="inlineStr">
        <is>
          <t>Y</t>
        </is>
      </c>
      <c r="I18" s="15" t="inlineStr">
        <is>
          <t>Y</t>
        </is>
      </c>
      <c r="J18" s="15" t="inlineStr">
        <is>
          <t>Y</t>
        </is>
      </c>
      <c r="K18" s="15" t="inlineStr">
        <is>
          <t>Y</t>
        </is>
      </c>
      <c r="L18" s="15" t="inlineStr">
        <is>
          <t>Y</t>
        </is>
      </c>
      <c r="M18" s="15" t="inlineStr">
        <is>
          <t>smoking_former, smoking_current</t>
        </is>
      </c>
      <c r="N18" s="15" t="inlineStr">
        <is>
          <t>Diagnosis codes: current = F17.2/Z72.0 within 730 d; former = Z87.891 / older current codes</t>
        </is>
      </c>
    </row>
    <row r="19" ht="23.85" customHeight="1" s="11">
      <c r="A19" s="15" t="inlineStr">
        <is>
          <t>diabetes</t>
        </is>
      </c>
      <c r="B19" s="15" t="inlineStr">
        <is>
          <t>Diabetes Status</t>
        </is>
      </c>
      <c r="C19" s="15" t="n"/>
      <c r="D19" s="15" t="inlineStr">
        <is>
          <t>select</t>
        </is>
      </c>
      <c r="E19" s="15" t="inlineStr">
        <is>
          <t>none, prediabetes, type1, type2</t>
        </is>
      </c>
      <c r="F19" s="15" t="inlineStr">
        <is>
          <t>No</t>
        </is>
      </c>
      <c r="G19" s="15" t="inlineStr">
        <is>
          <t>Risk factors</t>
        </is>
      </c>
      <c r="H19" s="15" t="inlineStr">
        <is>
          <t>Y</t>
        </is>
      </c>
      <c r="I19" s="15" t="inlineStr">
        <is>
          <t>Y</t>
        </is>
      </c>
      <c r="J19" s="15" t="inlineStr">
        <is>
          <t>Y</t>
        </is>
      </c>
      <c r="K19" s="15" t="inlineStr">
        <is>
          <t>Y</t>
        </is>
      </c>
      <c r="L19" s="15" t="inlineStr">
        <is>
          <t>Y</t>
        </is>
      </c>
      <c r="M19" s="15" t="inlineStr">
        <is>
          <t>diabetes_pre, diabetes_t1, diabetes_t2</t>
        </is>
      </c>
      <c r="N19" s="15" t="inlineStr">
        <is>
          <t>E11 → type 2, E10 → type 1, R73.0 or HbA1c 5.7–6.4% → prediabetes; HbA1c ≥6.5% → type 2</t>
        </is>
      </c>
    </row>
    <row r="20" ht="15" customHeight="1" s="11">
      <c r="A20" s="15" t="inlineStr">
        <is>
          <t>total_chol</t>
        </is>
      </c>
      <c r="B20" s="15" t="inlineStr">
        <is>
          <t>Total Cholesterol</t>
        </is>
      </c>
      <c r="C20" s="15" t="inlineStr">
        <is>
          <t>mg/dL</t>
        </is>
      </c>
      <c r="D20" s="15" t="inlineStr">
        <is>
          <t>number</t>
        </is>
      </c>
      <c r="E20" s="15" t="inlineStr">
        <is>
          <t>80–400</t>
        </is>
      </c>
      <c r="F20" s="15" t="inlineStr">
        <is>
          <t>No</t>
        </is>
      </c>
      <c r="G20" s="15" t="inlineStr">
        <is>
          <t>Laboratory</t>
        </is>
      </c>
      <c r="H20" s="15" t="inlineStr">
        <is>
          <t>Y</t>
        </is>
      </c>
      <c r="I20" s="15" t="inlineStr">
        <is>
          <t>Y</t>
        </is>
      </c>
      <c r="J20" s="15" t="inlineStr">
        <is>
          <t>Y</t>
        </is>
      </c>
      <c r="K20" s="15" t="inlineStr">
        <is>
          <t>Y</t>
        </is>
      </c>
      <c r="L20" s="15" t="inlineStr">
        <is>
          <t>Y</t>
        </is>
      </c>
      <c r="M20" s="15" t="inlineStr">
        <is>
          <t>total_chol, non_hdl</t>
        </is>
      </c>
      <c r="N20" s="15" t="inlineStr">
        <is>
          <t>OMOP measurement, LOINC 2093-3; latest value ≤730 d before index</t>
        </is>
      </c>
    </row>
    <row r="21" ht="15" customHeight="1" s="11">
      <c r="A21" s="15" t="inlineStr">
        <is>
          <t>hdl</t>
        </is>
      </c>
      <c r="B21" s="15" t="inlineStr">
        <is>
          <t>HDL Cholesterol</t>
        </is>
      </c>
      <c r="C21" s="15" t="inlineStr">
        <is>
          <t>mg/dL</t>
        </is>
      </c>
      <c r="D21" s="15" t="inlineStr">
        <is>
          <t>number</t>
        </is>
      </c>
      <c r="E21" s="15" t="inlineStr">
        <is>
          <t>15–120</t>
        </is>
      </c>
      <c r="F21" s="15" t="inlineStr">
        <is>
          <t>No</t>
        </is>
      </c>
      <c r="G21" s="15" t="inlineStr">
        <is>
          <t>Laboratory</t>
        </is>
      </c>
      <c r="H21" s="15" t="inlineStr">
        <is>
          <t>Y</t>
        </is>
      </c>
      <c r="I21" s="15" t="inlineStr">
        <is>
          <t>Y</t>
        </is>
      </c>
      <c r="J21" s="15" t="inlineStr">
        <is>
          <t>Y</t>
        </is>
      </c>
      <c r="K21" s="15" t="inlineStr">
        <is>
          <t>Y</t>
        </is>
      </c>
      <c r="L21" s="15" t="inlineStr">
        <is>
          <t>Y</t>
        </is>
      </c>
      <c r="M21" s="15" t="inlineStr">
        <is>
          <t>hdl, non_hdl</t>
        </is>
      </c>
      <c r="N21" s="15" t="inlineStr">
        <is>
          <t>OMOP measurement, LOINC 2085-8; latest value ≤730 d before index</t>
        </is>
      </c>
    </row>
    <row r="22" ht="23.85" customHeight="1" s="11">
      <c r="A22" s="15" t="inlineStr">
        <is>
          <t>ldl</t>
        </is>
      </c>
      <c r="B22" s="15" t="inlineStr">
        <is>
          <t>LDL Cholesterol</t>
        </is>
      </c>
      <c r="C22" s="15" t="inlineStr">
        <is>
          <t>mg/dL</t>
        </is>
      </c>
      <c r="D22" s="15" t="inlineStr">
        <is>
          <t>number</t>
        </is>
      </c>
      <c r="E22" s="15" t="inlineStr">
        <is>
          <t>20–300</t>
        </is>
      </c>
      <c r="F22" s="15" t="inlineStr">
        <is>
          <t>No</t>
        </is>
      </c>
      <c r="G22" s="15" t="inlineStr">
        <is>
          <t>Laboratory</t>
        </is>
      </c>
      <c r="H22" s="15" t="inlineStr">
        <is>
          <t>Y</t>
        </is>
      </c>
      <c r="I22" s="15" t="inlineStr">
        <is>
          <t>Y</t>
        </is>
      </c>
      <c r="J22" s="15" t="inlineStr">
        <is>
          <t>Y</t>
        </is>
      </c>
      <c r="K22" s="15" t="inlineStr">
        <is>
          <t>Y</t>
        </is>
      </c>
      <c r="L22" s="15" t="inlineStr">
        <is>
          <t>Y</t>
        </is>
      </c>
      <c r="M22" s="15" t="inlineStr">
        <is>
          <t>ldl</t>
        </is>
      </c>
      <c r="N22" s="15" t="inlineStr">
        <is>
          <t>OMOP measurement, LOINC 13457-7, 18262-6, 2089-1; latest value ≤730 d before index</t>
        </is>
      </c>
    </row>
    <row r="23" ht="15" customHeight="1" s="11">
      <c r="A23" s="15" t="inlineStr">
        <is>
          <t>trig</t>
        </is>
      </c>
      <c r="B23" s="15" t="inlineStr">
        <is>
          <t>Triglycerides</t>
        </is>
      </c>
      <c r="C23" s="15" t="inlineStr">
        <is>
          <t>mg/dL</t>
        </is>
      </c>
      <c r="D23" s="15" t="inlineStr">
        <is>
          <t>number</t>
        </is>
      </c>
      <c r="E23" s="15" t="inlineStr">
        <is>
          <t>20–1500</t>
        </is>
      </c>
      <c r="F23" s="15" t="inlineStr">
        <is>
          <t>No</t>
        </is>
      </c>
      <c r="G23" s="15" t="inlineStr">
        <is>
          <t>Laboratory</t>
        </is>
      </c>
      <c r="H23" s="15" t="inlineStr">
        <is>
          <t>Y</t>
        </is>
      </c>
      <c r="I23" s="15" t="inlineStr">
        <is>
          <t>Y</t>
        </is>
      </c>
      <c r="J23" s="15" t="inlineStr">
        <is>
          <t>Y</t>
        </is>
      </c>
      <c r="K23" s="15" t="inlineStr">
        <is>
          <t>Y</t>
        </is>
      </c>
      <c r="L23" s="15" t="inlineStr">
        <is>
          <t>Y</t>
        </is>
      </c>
      <c r="M23" s="15" t="inlineStr">
        <is>
          <t>trig</t>
        </is>
      </c>
      <c r="N23" s="15" t="inlineStr">
        <is>
          <t>OMOP measurement, LOINC 2571-8; latest value ≤730 d before index</t>
        </is>
      </c>
    </row>
    <row r="24" ht="23.85" customHeight="1" s="11">
      <c r="A24" s="15" t="inlineStr">
        <is>
          <t>glucose</t>
        </is>
      </c>
      <c r="B24" s="15" t="inlineStr">
        <is>
          <t>Fasting Glucose</t>
        </is>
      </c>
      <c r="C24" s="15" t="inlineStr">
        <is>
          <t>mg/dL</t>
        </is>
      </c>
      <c r="D24" s="15" t="inlineStr">
        <is>
          <t>number</t>
        </is>
      </c>
      <c r="E24" s="15" t="inlineStr">
        <is>
          <t>40–500</t>
        </is>
      </c>
      <c r="F24" s="15" t="inlineStr">
        <is>
          <t>No</t>
        </is>
      </c>
      <c r="G24" s="15" t="inlineStr">
        <is>
          <t>Laboratory</t>
        </is>
      </c>
      <c r="H24" s="15" t="inlineStr">
        <is>
          <t>Y</t>
        </is>
      </c>
      <c r="I24" s="15" t="inlineStr">
        <is>
          <t>Y</t>
        </is>
      </c>
      <c r="J24" s="15" t="inlineStr">
        <is>
          <t>Y</t>
        </is>
      </c>
      <c r="K24" s="15" t="inlineStr">
        <is>
          <t>Y</t>
        </is>
      </c>
      <c r="L24" s="15" t="inlineStr">
        <is>
          <t>Y</t>
        </is>
      </c>
      <c r="M24" s="15" t="inlineStr">
        <is>
          <t>glucose</t>
        </is>
      </c>
      <c r="N24" s="15" t="inlineStr">
        <is>
          <t>OMOP measurement, LOINC 1558-6, 2345-7; latest value ≤730 d before index</t>
        </is>
      </c>
    </row>
    <row r="25" ht="23.85" customHeight="1" s="11">
      <c r="A25" s="15" t="inlineStr">
        <is>
          <t>hba1c</t>
        </is>
      </c>
      <c r="B25" s="15" t="inlineStr">
        <is>
          <t>HbA1c</t>
        </is>
      </c>
      <c r="C25" s="15" t="inlineStr">
        <is>
          <t>%</t>
        </is>
      </c>
      <c r="D25" s="15" t="inlineStr">
        <is>
          <t>number</t>
        </is>
      </c>
      <c r="E25" s="15" t="inlineStr">
        <is>
          <t>3–18</t>
        </is>
      </c>
      <c r="F25" s="15" t="inlineStr">
        <is>
          <t>No</t>
        </is>
      </c>
      <c r="G25" s="15" t="inlineStr">
        <is>
          <t>Laboratory</t>
        </is>
      </c>
      <c r="H25" s="15" t="inlineStr">
        <is>
          <t>Y</t>
        </is>
      </c>
      <c r="I25" s="15" t="inlineStr">
        <is>
          <t>Y</t>
        </is>
      </c>
      <c r="J25" s="15" t="inlineStr">
        <is>
          <t>Y</t>
        </is>
      </c>
      <c r="K25" s="15" t="inlineStr">
        <is>
          <t>Y</t>
        </is>
      </c>
      <c r="L25" s="15" t="inlineStr">
        <is>
          <t>Y</t>
        </is>
      </c>
      <c r="M25" s="15" t="inlineStr">
        <is>
          <t>hba1c</t>
        </is>
      </c>
      <c r="N25" s="15" t="inlineStr">
        <is>
          <t>OMOP measurement, LOINC 4548-4, 17856-6; latest value ≤730 d before index</t>
        </is>
      </c>
    </row>
    <row r="26" ht="23.85" customHeight="1" s="11">
      <c r="A26" s="15" t="inlineStr">
        <is>
          <t>hscrp</t>
        </is>
      </c>
      <c r="B26" s="15" t="inlineStr">
        <is>
          <t>hs-CRP</t>
        </is>
      </c>
      <c r="C26" s="15" t="inlineStr">
        <is>
          <t>mg/L</t>
        </is>
      </c>
      <c r="D26" s="15" t="inlineStr">
        <is>
          <t>number</t>
        </is>
      </c>
      <c r="E26" s="15" t="inlineStr">
        <is>
          <t>0–50</t>
        </is>
      </c>
      <c r="F26" s="15" t="inlineStr">
        <is>
          <t>No</t>
        </is>
      </c>
      <c r="G26" s="15" t="inlineStr">
        <is>
          <t>Laboratory</t>
        </is>
      </c>
      <c r="H26" s="15" t="inlineStr">
        <is>
          <t>Y</t>
        </is>
      </c>
      <c r="I26" s="15" t="inlineStr">
        <is>
          <t>Y</t>
        </is>
      </c>
      <c r="J26" s="15" t="inlineStr">
        <is>
          <t>Y</t>
        </is>
      </c>
      <c r="K26" s="15" t="inlineStr">
        <is>
          <t>Y</t>
        </is>
      </c>
      <c r="L26" s="15" t="inlineStr">
        <is>
          <t>Y</t>
        </is>
      </c>
      <c r="M26" s="15" t="inlineStr">
        <is>
          <t>hscrp</t>
        </is>
      </c>
      <c r="N26" s="15" t="inlineStr">
        <is>
          <t>OMOP measurement, LOINC 30522-7, 1988-5; latest value ≤730 d before index</t>
        </is>
      </c>
    </row>
    <row r="27" ht="23.85" customHeight="1" s="11">
      <c r="A27" s="15" t="inlineStr">
        <is>
          <t>egfr</t>
        </is>
      </c>
      <c r="B27" s="15" t="inlineStr">
        <is>
          <t>eGFR</t>
        </is>
      </c>
      <c r="C27" s="15" t="inlineStr">
        <is>
          <t>mL/min/1.73m²</t>
        </is>
      </c>
      <c r="D27" s="15" t="inlineStr">
        <is>
          <t>number</t>
        </is>
      </c>
      <c r="E27" s="15" t="inlineStr">
        <is>
          <t>5–150</t>
        </is>
      </c>
      <c r="F27" s="15" t="inlineStr">
        <is>
          <t>No</t>
        </is>
      </c>
      <c r="G27" s="15" t="inlineStr">
        <is>
          <t>Laboratory</t>
        </is>
      </c>
      <c r="H27" s="15" t="inlineStr">
        <is>
          <t>Y</t>
        </is>
      </c>
      <c r="I27" s="15" t="inlineStr">
        <is>
          <t>Y</t>
        </is>
      </c>
      <c r="J27" s="15" t="inlineStr">
        <is>
          <t>Y</t>
        </is>
      </c>
      <c r="K27" s="15" t="inlineStr">
        <is>
          <t>Y</t>
        </is>
      </c>
      <c r="L27" s="15" t="inlineStr">
        <is>
          <t>Y</t>
        </is>
      </c>
      <c r="M27" s="15" t="inlineStr">
        <is>
          <t>egfr</t>
        </is>
      </c>
      <c r="N27" s="15" t="inlineStr">
        <is>
          <t>OMOP measurement, LOINC 33914-3, 62238-1, 98979-8, 48642-3, 48643-1; latest value ≤730 d before index</t>
        </is>
      </c>
    </row>
    <row r="28" ht="23.85" customHeight="1" s="11">
      <c r="A28" s="15" t="inlineStr">
        <is>
          <t>cac_score</t>
        </is>
      </c>
      <c r="B28" s="15" t="inlineStr">
        <is>
          <t>Coronary artery calcium (Agatston)</t>
        </is>
      </c>
      <c r="C28" s="15" t="inlineStr">
        <is>
          <t>AU</t>
        </is>
      </c>
      <c r="D28" s="15" t="inlineStr">
        <is>
          <t>number</t>
        </is>
      </c>
      <c r="E28" s="15" t="inlineStr">
        <is>
          <t>0–5000</t>
        </is>
      </c>
      <c r="F28" s="15" t="inlineStr">
        <is>
          <t>No</t>
        </is>
      </c>
      <c r="G28" s="15" t="inlineStr">
        <is>
          <t>Imaging</t>
        </is>
      </c>
      <c r="H28" s="15" t="inlineStr">
        <is>
          <t>Y</t>
        </is>
      </c>
      <c r="I28" s="15" t="inlineStr">
        <is>
          <t>Y</t>
        </is>
      </c>
      <c r="J28" s="15" t="inlineStr">
        <is>
          <t>Y</t>
        </is>
      </c>
      <c r="K28" s="15" t="inlineStr">
        <is>
          <t>N</t>
        </is>
      </c>
      <c r="L28" s="15" t="inlineStr">
        <is>
          <t>N</t>
        </is>
      </c>
      <c r="M28" s="15" t="inlineStr">
        <is>
          <t>cac_score_log</t>
        </is>
      </c>
      <c r="N28" s="15" t="inlineStr">
        <is>
          <t>NLP of radiology reports (OMOP note = FACT_RADIOLOGY report) ≤730 d before index</t>
        </is>
      </c>
    </row>
    <row r="29" ht="23.85" customHeight="1" s="11">
      <c r="A29" s="15" t="inlineStr">
        <is>
          <t>lvef</t>
        </is>
      </c>
      <c r="B29" s="15" t="inlineStr">
        <is>
          <t>LV ejection fraction</t>
        </is>
      </c>
      <c r="C29" s="15" t="inlineStr">
        <is>
          <t>%</t>
        </is>
      </c>
      <c r="D29" s="15" t="inlineStr">
        <is>
          <t>number</t>
        </is>
      </c>
      <c r="E29" s="15" t="inlineStr">
        <is>
          <t>5–85</t>
        </is>
      </c>
      <c r="F29" s="15" t="inlineStr">
        <is>
          <t>No</t>
        </is>
      </c>
      <c r="G29" s="15" t="inlineStr">
        <is>
          <t>Imaging</t>
        </is>
      </c>
      <c r="H29" s="15" t="inlineStr">
        <is>
          <t>N</t>
        </is>
      </c>
      <c r="I29" s="15" t="inlineStr">
        <is>
          <t>N</t>
        </is>
      </c>
      <c r="J29" s="15" t="inlineStr">
        <is>
          <t>Y</t>
        </is>
      </c>
      <c r="K29" s="15" t="inlineStr">
        <is>
          <t>Y</t>
        </is>
      </c>
      <c r="L29" s="15" t="inlineStr">
        <is>
          <t>Y</t>
        </is>
      </c>
      <c r="M29" s="15" t="inlineStr">
        <is>
          <t>lvef</t>
        </is>
      </c>
      <c r="N29" s="15" t="inlineStr">
        <is>
          <t>NLP of echo notes (FACT_ECHO_TEST.ECHO_NOTE) and imaging reports ≤730 d before index</t>
        </is>
      </c>
    </row>
    <row r="30" ht="15" customHeight="1" s="11">
      <c r="A30" s="15" t="inlineStr">
        <is>
          <t>statin</t>
        </is>
      </c>
      <c r="B30" s="15" t="inlineStr">
        <is>
          <t>Statin</t>
        </is>
      </c>
      <c r="C30" s="15" t="n"/>
      <c r="D30" s="15" t="inlineStr">
        <is>
          <t>bool</t>
        </is>
      </c>
      <c r="E30" s="15" t="inlineStr">
        <is>
          <t>yes / no</t>
        </is>
      </c>
      <c r="F30" s="15" t="inlineStr">
        <is>
          <t>No</t>
        </is>
      </c>
      <c r="G30" s="15" t="inlineStr">
        <is>
          <t>Medications</t>
        </is>
      </c>
      <c r="H30" s="15" t="inlineStr">
        <is>
          <t>Y</t>
        </is>
      </c>
      <c r="I30" s="15" t="inlineStr">
        <is>
          <t>Y</t>
        </is>
      </c>
      <c r="J30" s="15" t="inlineStr">
        <is>
          <t>Y</t>
        </is>
      </c>
      <c r="K30" s="15" t="inlineStr">
        <is>
          <t>Y</t>
        </is>
      </c>
      <c r="L30" s="15" t="inlineStr">
        <is>
          <t>Y</t>
        </is>
      </c>
      <c r="M30" s="15" t="inlineStr">
        <is>
          <t>statin</t>
        </is>
      </c>
      <c r="N30" s="15" t="inlineStr">
        <is>
          <t>OMOP drug_exposure ≤365 d before index; ATC C10AA, C10BA, C10BX</t>
        </is>
      </c>
    </row>
    <row r="31" ht="15" customHeight="1" s="11">
      <c r="A31" s="15" t="inlineStr">
        <is>
          <t>aspirin</t>
        </is>
      </c>
      <c r="B31" s="15" t="inlineStr">
        <is>
          <t>Aspirin</t>
        </is>
      </c>
      <c r="C31" s="15" t="n"/>
      <c r="D31" s="15" t="inlineStr">
        <is>
          <t>bool</t>
        </is>
      </c>
      <c r="E31" s="15" t="inlineStr">
        <is>
          <t>yes / no</t>
        </is>
      </c>
      <c r="F31" s="15" t="inlineStr">
        <is>
          <t>No</t>
        </is>
      </c>
      <c r="G31" s="15" t="inlineStr">
        <is>
          <t>Medications</t>
        </is>
      </c>
      <c r="H31" s="15" t="inlineStr">
        <is>
          <t>Y</t>
        </is>
      </c>
      <c r="I31" s="15" t="inlineStr">
        <is>
          <t>Y</t>
        </is>
      </c>
      <c r="J31" s="15" t="inlineStr">
        <is>
          <t>Y</t>
        </is>
      </c>
      <c r="K31" s="15" t="inlineStr">
        <is>
          <t>Y</t>
        </is>
      </c>
      <c r="L31" s="15" t="inlineStr">
        <is>
          <t>Y</t>
        </is>
      </c>
      <c r="M31" s="15" t="inlineStr">
        <is>
          <t>aspirin</t>
        </is>
      </c>
      <c r="N31" s="15" t="inlineStr">
        <is>
          <t>OMOP drug_exposure ≤365 d before index; ATC B01AC06</t>
        </is>
      </c>
    </row>
    <row r="32" ht="15" customHeight="1" s="11">
      <c r="A32" s="15" t="inlineStr">
        <is>
          <t>acei_arb</t>
        </is>
      </c>
      <c r="B32" s="15" t="inlineStr">
        <is>
          <t>ACE-I/ARB</t>
        </is>
      </c>
      <c r="C32" s="15" t="n"/>
      <c r="D32" s="15" t="inlineStr">
        <is>
          <t>bool</t>
        </is>
      </c>
      <c r="E32" s="15" t="inlineStr">
        <is>
          <t>yes / no</t>
        </is>
      </c>
      <c r="F32" s="15" t="inlineStr">
        <is>
          <t>No</t>
        </is>
      </c>
      <c r="G32" s="15" t="inlineStr">
        <is>
          <t>Medications</t>
        </is>
      </c>
      <c r="H32" s="15" t="inlineStr">
        <is>
          <t>Y</t>
        </is>
      </c>
      <c r="I32" s="15" t="inlineStr">
        <is>
          <t>Y</t>
        </is>
      </c>
      <c r="J32" s="15" t="inlineStr">
        <is>
          <t>Y</t>
        </is>
      </c>
      <c r="K32" s="15" t="inlineStr">
        <is>
          <t>Y</t>
        </is>
      </c>
      <c r="L32" s="15" t="inlineStr">
        <is>
          <t>Y</t>
        </is>
      </c>
      <c r="M32" s="15" t="inlineStr">
        <is>
          <t>acei_arb</t>
        </is>
      </c>
      <c r="N32" s="15" t="inlineStr">
        <is>
          <t>OMOP drug_exposure ≤365 d before index; ATC C09</t>
        </is>
      </c>
    </row>
    <row r="33" ht="15" customHeight="1" s="11">
      <c r="A33" s="15" t="inlineStr">
        <is>
          <t>beta_blocker</t>
        </is>
      </c>
      <c r="B33" s="15" t="inlineStr">
        <is>
          <t>Beta Blocker</t>
        </is>
      </c>
      <c r="C33" s="15" t="n"/>
      <c r="D33" s="15" t="inlineStr">
        <is>
          <t>bool</t>
        </is>
      </c>
      <c r="E33" s="15" t="inlineStr">
        <is>
          <t>yes / no</t>
        </is>
      </c>
      <c r="F33" s="15" t="inlineStr">
        <is>
          <t>No</t>
        </is>
      </c>
      <c r="G33" s="15" t="inlineStr">
        <is>
          <t>Medications</t>
        </is>
      </c>
      <c r="H33" s="15" t="inlineStr">
        <is>
          <t>Y</t>
        </is>
      </c>
      <c r="I33" s="15" t="inlineStr">
        <is>
          <t>Y</t>
        </is>
      </c>
      <c r="J33" s="15" t="inlineStr">
        <is>
          <t>Y</t>
        </is>
      </c>
      <c r="K33" s="15" t="inlineStr">
        <is>
          <t>Y</t>
        </is>
      </c>
      <c r="L33" s="15" t="inlineStr">
        <is>
          <t>Y</t>
        </is>
      </c>
      <c r="M33" s="15" t="inlineStr">
        <is>
          <t>beta_blocker</t>
        </is>
      </c>
      <c r="N33" s="15" t="inlineStr">
        <is>
          <t>OMOP drug_exposure ≤365 d before index; ATC C07</t>
        </is>
      </c>
    </row>
    <row r="34" ht="15" customHeight="1" s="11">
      <c r="A34" s="15" t="inlineStr">
        <is>
          <t>anticoagulant</t>
        </is>
      </c>
      <c r="B34" s="15" t="inlineStr">
        <is>
          <t>Anticoagulant</t>
        </is>
      </c>
      <c r="C34" s="15" t="n"/>
      <c r="D34" s="15" t="inlineStr">
        <is>
          <t>bool</t>
        </is>
      </c>
      <c r="E34" s="15" t="inlineStr">
        <is>
          <t>yes / no</t>
        </is>
      </c>
      <c r="F34" s="15" t="inlineStr">
        <is>
          <t>No</t>
        </is>
      </c>
      <c r="G34" s="15" t="inlineStr">
        <is>
          <t>Medications</t>
        </is>
      </c>
      <c r="H34" s="15" t="inlineStr">
        <is>
          <t>Y</t>
        </is>
      </c>
      <c r="I34" s="15" t="inlineStr">
        <is>
          <t>Y</t>
        </is>
      </c>
      <c r="J34" s="15" t="inlineStr">
        <is>
          <t>Y</t>
        </is>
      </c>
      <c r="K34" s="15" t="inlineStr">
        <is>
          <t>Y</t>
        </is>
      </c>
      <c r="L34" s="15" t="inlineStr">
        <is>
          <t>Y</t>
        </is>
      </c>
      <c r="M34" s="15" t="inlineStr">
        <is>
          <t>anticoagulant</t>
        </is>
      </c>
      <c r="N34" s="15" t="inlineStr">
        <is>
          <t>OMOP drug_exposure ≤365 d before index; ATC B01AA, B01AE, B01AF</t>
        </is>
      </c>
    </row>
    <row r="35" ht="23.85" customHeight="1" s="11">
      <c r="A35" s="15" t="inlineStr">
        <is>
          <t>antihypertensive</t>
        </is>
      </c>
      <c r="B35" s="15" t="inlineStr">
        <is>
          <t>Any antihypertensive</t>
        </is>
      </c>
      <c r="C35" s="15" t="n"/>
      <c r="D35" s="15" t="inlineStr">
        <is>
          <t>bool</t>
        </is>
      </c>
      <c r="E35" s="15" t="inlineStr">
        <is>
          <t>yes / no</t>
        </is>
      </c>
      <c r="F35" s="15" t="inlineStr">
        <is>
          <t>No</t>
        </is>
      </c>
      <c r="G35" s="15" t="inlineStr">
        <is>
          <t>Medications</t>
        </is>
      </c>
      <c r="H35" s="15" t="inlineStr">
        <is>
          <t>Y</t>
        </is>
      </c>
      <c r="I35" s="15" t="inlineStr">
        <is>
          <t>Y</t>
        </is>
      </c>
      <c r="J35" s="15" t="inlineStr">
        <is>
          <t>Y</t>
        </is>
      </c>
      <c r="K35" s="15" t="inlineStr">
        <is>
          <t>Y</t>
        </is>
      </c>
      <c r="L35" s="15" t="inlineStr">
        <is>
          <t>Y</t>
        </is>
      </c>
      <c r="M35" s="15" t="inlineStr">
        <is>
          <t>antihypertensive</t>
        </is>
      </c>
      <c r="N35" s="15" t="inlineStr">
        <is>
          <t>OMOP drug_exposure ≤365 d before index; ATC C02, C03, C07, C08, C09</t>
        </is>
      </c>
    </row>
  </sheetData>
  <autoFilter ref="A2:N35"/>
  <mergeCells count="1">
    <mergeCell ref="A1:N1"/>
  </mergeCells>
  <dataValidations count="1">
    <dataValidation sqref="H3:L35" showDropDown="0" showInputMessage="0" showErrorMessage="0" allowBlank="0" type="list" errorStyle="stop" operator="between">
      <formula1>"Y,N"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22" customWidth="1" style="10" min="2" max="2"/>
    <col width="80" customWidth="1" style="10" min="3" max="3"/>
    <col width="12" customWidth="1" style="10" min="4" max="4"/>
    <col width="28" customWidth="1" style="10" min="5" max="5"/>
  </cols>
  <sheetData>
    <row r="1" ht="30" customHeight="1" s="11">
      <c r="A1" s="20" t="inlineStr">
        <is>
          <t>What the Render app returns for each calculation (POST /api/predict).</t>
        </is>
      </c>
    </row>
    <row r="2" ht="15" customHeight="1" s="11">
      <c r="A2" s="14" t="inlineStr">
        <is>
          <t>Calculator</t>
        </is>
      </c>
      <c r="B2" s="14" t="inlineStr">
        <is>
          <t>Output</t>
        </is>
      </c>
      <c r="C2" s="14" t="inlineStr">
        <is>
          <t>Description</t>
        </is>
      </c>
      <c r="D2" s="14" t="inlineStr">
        <is>
          <t>Form</t>
        </is>
      </c>
      <c r="E2" s="14" t="inlineStr">
        <is>
          <t>Produced by</t>
        </is>
      </c>
    </row>
    <row r="3" ht="23.85" customHeight="1" s="11">
      <c r="A3" s="15" t="inlineStr">
        <is>
          <t>AMI</t>
        </is>
      </c>
      <c r="B3" s="15" t="inlineStr">
        <is>
          <t>Primary risk</t>
        </is>
      </c>
      <c r="C3" s="15" t="inlineStr">
        <is>
          <t>5-year probability of acute myocardial infarction (falls back to 1-year / 30-day if no 5-year model)</t>
        </is>
      </c>
      <c r="D3" s="15" t="inlineStr">
        <is>
          <t>0–100 %</t>
        </is>
      </c>
      <c r="E3" s="15" t="inlineStr">
        <is>
          <t>AI model (calibrated gradient boosting)</t>
        </is>
      </c>
    </row>
    <row r="4" ht="23.85" customHeight="1" s="11">
      <c r="A4" s="15" t="inlineStr">
        <is>
          <t>AMI</t>
        </is>
      </c>
      <c r="B4" s="15" t="inlineStr">
        <is>
          <t>Risk category</t>
        </is>
      </c>
      <c r="C4" s="15" t="inlineStr">
        <is>
          <t>Low &lt;5%, Moderate 5–10%, High 10–20%, Very high ≥20% of the 5-year risk (display bands, not treatment thresholds)</t>
        </is>
      </c>
      <c r="D4" s="15" t="inlineStr">
        <is>
          <t>category</t>
        </is>
      </c>
      <c r="E4" s="15" t="inlineStr">
        <is>
          <t>App rule</t>
        </is>
      </c>
    </row>
    <row r="5" ht="23.85" customHeight="1" s="11">
      <c r="A5" s="15" t="inlineStr">
        <is>
          <t>AMI</t>
        </is>
      </c>
      <c r="B5" s="15" t="inlineStr">
        <is>
          <t>Risk by horizon</t>
        </is>
      </c>
      <c r="C5" s="15" t="inlineStr">
        <is>
          <t>Probability for every endpoint × 30 days, 1 year, 5 years; cumulative risk never falls with a longer horizon</t>
        </is>
      </c>
      <c r="D5" s="15" t="inlineStr">
        <is>
          <t>table of %</t>
        </is>
      </c>
      <c r="E5" s="15" t="inlineStr">
        <is>
          <t>AI model</t>
        </is>
      </c>
    </row>
    <row r="6" ht="15" customHeight="1" s="11">
      <c r="A6" s="15" t="inlineStr">
        <is>
          <t>AMI</t>
        </is>
      </c>
      <c r="B6" s="15" t="inlineStr">
        <is>
          <t>Model performance</t>
        </is>
      </c>
      <c r="C6" s="15" t="inlineStr">
        <is>
          <t>Hold-out C-statistic with 95% CI, target, target met (CI lower bound ≥ target), calibration slope</t>
        </is>
      </c>
      <c r="D6" s="15" t="inlineStr">
        <is>
          <t>numbers</t>
        </is>
      </c>
      <c r="E6" s="15" t="inlineStr">
        <is>
          <t>Bundle manifest</t>
        </is>
      </c>
    </row>
    <row r="7" ht="23.85" customHeight="1" s="11">
      <c r="A7" s="15" t="inlineStr">
        <is>
          <t>AMI</t>
        </is>
      </c>
      <c r="B7" s="15" t="inlineStr">
        <is>
          <t>Risk drivers</t>
        </is>
      </c>
      <c r="C7" s="15" t="inlineStr">
        <is>
          <t>Top 8 factors: change in risk when each factor is set to the training cohort's typical value (percentage points)</t>
        </is>
      </c>
      <c r="D7" s="15" t="inlineStr">
        <is>
          <t>list</t>
        </is>
      </c>
      <c r="E7" s="15" t="inlineStr">
        <is>
          <t>AI model</t>
        </is>
      </c>
    </row>
    <row r="8" ht="15" customHeight="1" s="11">
      <c r="A8" s="15" t="inlineStr">
        <is>
          <t>AMI</t>
        </is>
      </c>
      <c r="B8" s="15" t="inlineStr">
        <is>
          <t>Published equations</t>
        </is>
      </c>
      <c r="C8" s="15" t="inlineStr">
        <is>
          <t>Pooled Cohort Equations (2013 ACC/AHA)</t>
        </is>
      </c>
      <c r="D8" s="15" t="inlineStr">
        <is>
          <t>% / score</t>
        </is>
      </c>
      <c r="E8" s="15" t="inlineStr">
        <is>
          <t>Published equations</t>
        </is>
      </c>
    </row>
    <row r="9" ht="23.85" customHeight="1" s="11">
      <c r="A9" s="15" t="inlineStr">
        <is>
          <t>AMI</t>
        </is>
      </c>
      <c r="B9" s="15" t="inlineStr">
        <is>
          <t>Clinical considerations</t>
        </is>
      </c>
      <c r="C9" s="15" t="inlineStr">
        <is>
          <t>Guideline-anchored notes (statin, BP, GDMT, anticoagulation, ICD screen) from published equations and measured values, never from the AI risk</t>
        </is>
      </c>
      <c r="D9" s="15" t="inlineStr">
        <is>
          <t>text</t>
        </is>
      </c>
      <c r="E9" s="15" t="inlineStr">
        <is>
          <t>App rules</t>
        </is>
      </c>
    </row>
    <row r="10" ht="23.85" customHeight="1" s="11">
      <c r="A10" s="15" t="inlineStr">
        <is>
          <t>AMI</t>
        </is>
      </c>
      <c r="B10" s="15" t="inlineStr">
        <is>
          <t>Provenance</t>
        </is>
      </c>
      <c r="C10" s="15" t="inlineStr">
        <is>
          <t>Model bundle id, training data source, number of patients, label governance (adjudicated cases, κ range, release id)</t>
        </is>
      </c>
      <c r="D10" s="15" t="inlineStr">
        <is>
          <t>text</t>
        </is>
      </c>
      <c r="E10" s="15" t="inlineStr">
        <is>
          <t>Bundle manifest</t>
        </is>
      </c>
    </row>
    <row r="11" ht="23.85" customHeight="1" s="11">
      <c r="A11" s="15" t="inlineStr">
        <is>
          <t>Stroke</t>
        </is>
      </c>
      <c r="B11" s="15" t="inlineStr">
        <is>
          <t>Primary risk</t>
        </is>
      </c>
      <c r="C11" s="15" t="inlineStr">
        <is>
          <t>5-year probability of any stroke or tia (falls back to 1-year / 30-day if no 5-year model)</t>
        </is>
      </c>
      <c r="D11" s="15" t="inlineStr">
        <is>
          <t>0–100 %</t>
        </is>
      </c>
      <c r="E11" s="15" t="inlineStr">
        <is>
          <t>AI model (calibrated gradient boosting)</t>
        </is>
      </c>
    </row>
    <row r="12" ht="23.85" customHeight="1" s="11">
      <c r="A12" s="15" t="inlineStr">
        <is>
          <t>Stroke</t>
        </is>
      </c>
      <c r="B12" s="15" t="inlineStr">
        <is>
          <t>Risk category</t>
        </is>
      </c>
      <c r="C12" s="15" t="inlineStr">
        <is>
          <t>Low &lt;5%, Moderate 5–10%, High 10–20%, Very high ≥20% of the 5-year risk (display bands, not treatment thresholds)</t>
        </is>
      </c>
      <c r="D12" s="15" t="inlineStr">
        <is>
          <t>category</t>
        </is>
      </c>
      <c r="E12" s="15" t="inlineStr">
        <is>
          <t>App rule</t>
        </is>
      </c>
    </row>
    <row r="13" ht="23.85" customHeight="1" s="11">
      <c r="A13" s="15" t="inlineStr">
        <is>
          <t>Stroke</t>
        </is>
      </c>
      <c r="B13" s="15" t="inlineStr">
        <is>
          <t>Risk by horizon</t>
        </is>
      </c>
      <c r="C13" s="15" t="inlineStr">
        <is>
          <t>Probability for every endpoint × 30 days, 1 year, 5 years; cumulative risk never falls with a longer horizon</t>
        </is>
      </c>
      <c r="D13" s="15" t="inlineStr">
        <is>
          <t>table of %</t>
        </is>
      </c>
      <c r="E13" s="15" t="inlineStr">
        <is>
          <t>AI model</t>
        </is>
      </c>
    </row>
    <row r="14" ht="15" customHeight="1" s="11">
      <c r="A14" s="15" t="inlineStr">
        <is>
          <t>Stroke</t>
        </is>
      </c>
      <c r="B14" s="15" t="inlineStr">
        <is>
          <t>Model performance</t>
        </is>
      </c>
      <c r="C14" s="15" t="inlineStr">
        <is>
          <t>Hold-out C-statistic with 95% CI, target, target met (CI lower bound ≥ target), calibration slope</t>
        </is>
      </c>
      <c r="D14" s="15" t="inlineStr">
        <is>
          <t>numbers</t>
        </is>
      </c>
      <c r="E14" s="15" t="inlineStr">
        <is>
          <t>Bundle manifest</t>
        </is>
      </c>
    </row>
    <row r="15" ht="23.85" customHeight="1" s="11">
      <c r="A15" s="15" t="inlineStr">
        <is>
          <t>Stroke</t>
        </is>
      </c>
      <c r="B15" s="15" t="inlineStr">
        <is>
          <t>Risk drivers</t>
        </is>
      </c>
      <c r="C15" s="15" t="inlineStr">
        <is>
          <t>Top 8 factors: change in risk when each factor is set to the training cohort's typical value (percentage points)</t>
        </is>
      </c>
      <c r="D15" s="15" t="inlineStr">
        <is>
          <t>list</t>
        </is>
      </c>
      <c r="E15" s="15" t="inlineStr">
        <is>
          <t>AI model</t>
        </is>
      </c>
    </row>
    <row r="16" ht="15" customHeight="1" s="11">
      <c r="A16" s="15" t="inlineStr">
        <is>
          <t>Stroke</t>
        </is>
      </c>
      <c r="B16" s="15" t="inlineStr">
        <is>
          <t>Published equations</t>
        </is>
      </c>
      <c r="C16" s="15" t="inlineStr">
        <is>
          <t>CHA₂DS₂-VASc, Pooled Cohort Equations (2013 ACC/AHA)</t>
        </is>
      </c>
      <c r="D16" s="15" t="inlineStr">
        <is>
          <t>% / score</t>
        </is>
      </c>
      <c r="E16" s="15" t="inlineStr">
        <is>
          <t>Published equations</t>
        </is>
      </c>
    </row>
    <row r="17" ht="23.85" customHeight="1" s="11">
      <c r="A17" s="15" t="inlineStr">
        <is>
          <t>Stroke</t>
        </is>
      </c>
      <c r="B17" s="15" t="inlineStr">
        <is>
          <t>Clinical considerations</t>
        </is>
      </c>
      <c r="C17" s="15" t="inlineStr">
        <is>
          <t>Guideline-anchored notes (statin, BP, GDMT, anticoagulation, ICD screen) from published equations and measured values, never from the AI risk</t>
        </is>
      </c>
      <c r="D17" s="15" t="inlineStr">
        <is>
          <t>text</t>
        </is>
      </c>
      <c r="E17" s="15" t="inlineStr">
        <is>
          <t>App rules</t>
        </is>
      </c>
    </row>
    <row r="18" ht="23.85" customHeight="1" s="11">
      <c r="A18" s="15" t="inlineStr">
        <is>
          <t>Stroke</t>
        </is>
      </c>
      <c r="B18" s="15" t="inlineStr">
        <is>
          <t>Provenance</t>
        </is>
      </c>
      <c r="C18" s="15" t="inlineStr">
        <is>
          <t>Model bundle id, training data source, number of patients, label governance (adjudicated cases, κ range, release id)</t>
        </is>
      </c>
      <c r="D18" s="15" t="inlineStr">
        <is>
          <t>text</t>
        </is>
      </c>
      <c r="E18" s="15" t="inlineStr">
        <is>
          <t>Bundle manifest</t>
        </is>
      </c>
    </row>
    <row r="19" ht="23.85" customHeight="1" s="11">
      <c r="A19" s="15" t="inlineStr">
        <is>
          <t>Heart failure</t>
        </is>
      </c>
      <c r="B19" s="15" t="inlineStr">
        <is>
          <t>Primary risk</t>
        </is>
      </c>
      <c r="C19" s="15" t="inlineStr">
        <is>
          <t>5-year probability of heart failure hospitalization / diagnosis (falls back to 1-year / 30-day if no 5-year model)</t>
        </is>
      </c>
      <c r="D19" s="15" t="inlineStr">
        <is>
          <t>0–100 %</t>
        </is>
      </c>
      <c r="E19" s="15" t="inlineStr">
        <is>
          <t>AI model (calibrated gradient boosting)</t>
        </is>
      </c>
    </row>
    <row r="20" ht="23.85" customHeight="1" s="11">
      <c r="A20" s="15" t="inlineStr">
        <is>
          <t>Heart failure</t>
        </is>
      </c>
      <c r="B20" s="15" t="inlineStr">
        <is>
          <t>Risk category</t>
        </is>
      </c>
      <c r="C20" s="15" t="inlineStr">
        <is>
          <t>Low &lt;5%, Moderate 5–10%, High 10–20%, Very high ≥20% of the 5-year risk (display bands, not treatment thresholds)</t>
        </is>
      </c>
      <c r="D20" s="15" t="inlineStr">
        <is>
          <t>category</t>
        </is>
      </c>
      <c r="E20" s="15" t="inlineStr">
        <is>
          <t>App rule</t>
        </is>
      </c>
    </row>
    <row r="21" ht="23.85" customHeight="1" s="11">
      <c r="A21" s="15" t="inlineStr">
        <is>
          <t>Heart failure</t>
        </is>
      </c>
      <c r="B21" s="15" t="inlineStr">
        <is>
          <t>Risk by horizon</t>
        </is>
      </c>
      <c r="C21" s="15" t="inlineStr">
        <is>
          <t>Probability for every endpoint × 30 days, 1 year, 5 years; cumulative risk never falls with a longer horizon</t>
        </is>
      </c>
      <c r="D21" s="15" t="inlineStr">
        <is>
          <t>table of %</t>
        </is>
      </c>
      <c r="E21" s="15" t="inlineStr">
        <is>
          <t>AI model</t>
        </is>
      </c>
    </row>
    <row r="22" ht="15" customHeight="1" s="11">
      <c r="A22" s="15" t="inlineStr">
        <is>
          <t>Heart failure</t>
        </is>
      </c>
      <c r="B22" s="15" t="inlineStr">
        <is>
          <t>Model performance</t>
        </is>
      </c>
      <c r="C22" s="15" t="inlineStr">
        <is>
          <t>Hold-out C-statistic with 95% CI, target, target met (CI lower bound ≥ target), calibration slope</t>
        </is>
      </c>
      <c r="D22" s="15" t="inlineStr">
        <is>
          <t>numbers</t>
        </is>
      </c>
      <c r="E22" s="15" t="inlineStr">
        <is>
          <t>Bundle manifest</t>
        </is>
      </c>
    </row>
    <row r="23" ht="23.85" customHeight="1" s="11">
      <c r="A23" s="15" t="inlineStr">
        <is>
          <t>Heart failure</t>
        </is>
      </c>
      <c r="B23" s="15" t="inlineStr">
        <is>
          <t>Risk drivers</t>
        </is>
      </c>
      <c r="C23" s="15" t="inlineStr">
        <is>
          <t>Top 8 factors: change in risk when each factor is set to the training cohort's typical value (percentage points)</t>
        </is>
      </c>
      <c r="D23" s="15" t="inlineStr">
        <is>
          <t>list</t>
        </is>
      </c>
      <c r="E23" s="15" t="inlineStr">
        <is>
          <t>AI model</t>
        </is>
      </c>
    </row>
    <row r="24" ht="15" customHeight="1" s="11">
      <c r="A24" s="15" t="inlineStr">
        <is>
          <t>Heart failure</t>
        </is>
      </c>
      <c r="B24" s="15" t="inlineStr">
        <is>
          <t>Published equations</t>
        </is>
      </c>
      <c r="C24" s="15" t="inlineStr">
        <is>
          <t>None for this calculator</t>
        </is>
      </c>
      <c r="D24" s="15" t="inlineStr">
        <is>
          <t>% / score</t>
        </is>
      </c>
      <c r="E24" s="15" t="inlineStr">
        <is>
          <t>Published equations</t>
        </is>
      </c>
    </row>
    <row r="25" ht="23.85" customHeight="1" s="11">
      <c r="A25" s="15" t="inlineStr">
        <is>
          <t>Heart failure</t>
        </is>
      </c>
      <c r="B25" s="15" t="inlineStr">
        <is>
          <t>Clinical considerations</t>
        </is>
      </c>
      <c r="C25" s="15" t="inlineStr">
        <is>
          <t>Guideline-anchored notes (statin, BP, GDMT, anticoagulation, ICD screen) from published equations and measured values, never from the AI risk</t>
        </is>
      </c>
      <c r="D25" s="15" t="inlineStr">
        <is>
          <t>text</t>
        </is>
      </c>
      <c r="E25" s="15" t="inlineStr">
        <is>
          <t>App rules</t>
        </is>
      </c>
    </row>
    <row r="26" ht="23.85" customHeight="1" s="11">
      <c r="A26" s="15" t="inlineStr">
        <is>
          <t>Heart failure</t>
        </is>
      </c>
      <c r="B26" s="15" t="inlineStr">
        <is>
          <t>Provenance</t>
        </is>
      </c>
      <c r="C26" s="15" t="inlineStr">
        <is>
          <t>Model bundle id, training data source, number of patients, label governance (adjudicated cases, κ range, release id)</t>
        </is>
      </c>
      <c r="D26" s="15" t="inlineStr">
        <is>
          <t>text</t>
        </is>
      </c>
      <c r="E26" s="15" t="inlineStr">
        <is>
          <t>Bundle manifest</t>
        </is>
      </c>
    </row>
    <row r="27" ht="23.85" customHeight="1" s="11">
      <c r="A27" s="15" t="inlineStr">
        <is>
          <t>SCD</t>
        </is>
      </c>
      <c r="B27" s="15" t="inlineStr">
        <is>
          <t>Primary risk</t>
        </is>
      </c>
      <c r="C27" s="15" t="inlineStr">
        <is>
          <t>5-year probability of cardiac arrest / vf / sustained vt (falls back to 1-year / 30-day if no 5-year model)</t>
        </is>
      </c>
      <c r="D27" s="15" t="inlineStr">
        <is>
          <t>0–100 %</t>
        </is>
      </c>
      <c r="E27" s="15" t="inlineStr">
        <is>
          <t>AI model (calibrated gradient boosting)</t>
        </is>
      </c>
    </row>
    <row r="28" ht="23.85" customHeight="1" s="11">
      <c r="A28" s="15" t="inlineStr">
        <is>
          <t>SCD</t>
        </is>
      </c>
      <c r="B28" s="15" t="inlineStr">
        <is>
          <t>Risk category</t>
        </is>
      </c>
      <c r="C28" s="15" t="inlineStr">
        <is>
          <t>Low &lt;5%, Moderate 5–10%, High 10–20%, Very high ≥20% of the 5-year risk (display bands, not treatment thresholds)</t>
        </is>
      </c>
      <c r="D28" s="15" t="inlineStr">
        <is>
          <t>category</t>
        </is>
      </c>
      <c r="E28" s="15" t="inlineStr">
        <is>
          <t>App rule</t>
        </is>
      </c>
    </row>
    <row r="29" ht="23.85" customHeight="1" s="11">
      <c r="A29" s="15" t="inlineStr">
        <is>
          <t>SCD</t>
        </is>
      </c>
      <c r="B29" s="15" t="inlineStr">
        <is>
          <t>Risk by horizon</t>
        </is>
      </c>
      <c r="C29" s="15" t="inlineStr">
        <is>
          <t>Probability for every endpoint × 30 days, 1 year, 5 years; cumulative risk never falls with a longer horizon</t>
        </is>
      </c>
      <c r="D29" s="15" t="inlineStr">
        <is>
          <t>table of %</t>
        </is>
      </c>
      <c r="E29" s="15" t="inlineStr">
        <is>
          <t>AI model</t>
        </is>
      </c>
    </row>
    <row r="30" ht="15" customHeight="1" s="11">
      <c r="A30" s="15" t="inlineStr">
        <is>
          <t>SCD</t>
        </is>
      </c>
      <c r="B30" s="15" t="inlineStr">
        <is>
          <t>Model performance</t>
        </is>
      </c>
      <c r="C30" s="15" t="inlineStr">
        <is>
          <t>Hold-out C-statistic with 95% CI, target, target met (CI lower bound ≥ target), calibration slope</t>
        </is>
      </c>
      <c r="D30" s="15" t="inlineStr">
        <is>
          <t>numbers</t>
        </is>
      </c>
      <c r="E30" s="15" t="inlineStr">
        <is>
          <t>Bundle manifest</t>
        </is>
      </c>
    </row>
    <row r="31" ht="23.85" customHeight="1" s="11">
      <c r="A31" s="15" t="inlineStr">
        <is>
          <t>SCD</t>
        </is>
      </c>
      <c r="B31" s="15" t="inlineStr">
        <is>
          <t>Risk drivers</t>
        </is>
      </c>
      <c r="C31" s="15" t="inlineStr">
        <is>
          <t>Top 8 factors: change in risk when each factor is set to the training cohort's typical value (percentage points)</t>
        </is>
      </c>
      <c r="D31" s="15" t="inlineStr">
        <is>
          <t>list</t>
        </is>
      </c>
      <c r="E31" s="15" t="inlineStr">
        <is>
          <t>AI model</t>
        </is>
      </c>
    </row>
    <row r="32" ht="15" customHeight="1" s="11">
      <c r="A32" s="15" t="inlineStr">
        <is>
          <t>SCD</t>
        </is>
      </c>
      <c r="B32" s="15" t="inlineStr">
        <is>
          <t>Published equations</t>
        </is>
      </c>
      <c r="C32" s="15" t="inlineStr">
        <is>
          <t>ACC/AHA/HRS primary-prevention ICD criteria (screen)</t>
        </is>
      </c>
      <c r="D32" s="15" t="inlineStr">
        <is>
          <t>% / score</t>
        </is>
      </c>
      <c r="E32" s="15" t="inlineStr">
        <is>
          <t>Published equations</t>
        </is>
      </c>
    </row>
    <row r="33" ht="23.85" customHeight="1" s="11">
      <c r="A33" s="15" t="inlineStr">
        <is>
          <t>SCD</t>
        </is>
      </c>
      <c r="B33" s="15" t="inlineStr">
        <is>
          <t>Clinical considerations</t>
        </is>
      </c>
      <c r="C33" s="15" t="inlineStr">
        <is>
          <t>Guideline-anchored notes (statin, BP, GDMT, anticoagulation, ICD screen) from published equations and measured values, never from the AI risk</t>
        </is>
      </c>
      <c r="D33" s="15" t="inlineStr">
        <is>
          <t>text</t>
        </is>
      </c>
      <c r="E33" s="15" t="inlineStr">
        <is>
          <t>App rules</t>
        </is>
      </c>
    </row>
    <row r="34" ht="23.85" customHeight="1" s="11">
      <c r="A34" s="15" t="inlineStr">
        <is>
          <t>SCD</t>
        </is>
      </c>
      <c r="B34" s="15" t="inlineStr">
        <is>
          <t>Provenance</t>
        </is>
      </c>
      <c r="C34" s="15" t="inlineStr">
        <is>
          <t>Model bundle id, training data source, number of patients, label governance (adjudicated cases, κ range, release id)</t>
        </is>
      </c>
      <c r="D34" s="15" t="inlineStr">
        <is>
          <t>text</t>
        </is>
      </c>
      <c r="E34" s="15" t="inlineStr">
        <is>
          <t>Bundle manifest</t>
        </is>
      </c>
    </row>
    <row r="35" ht="23.85" customHeight="1" s="11">
      <c r="A35" s="15" t="inlineStr">
        <is>
          <t>AF</t>
        </is>
      </c>
      <c r="B35" s="15" t="inlineStr">
        <is>
          <t>Primary risk</t>
        </is>
      </c>
      <c r="C35" s="15" t="inlineStr">
        <is>
          <t>5-year probability of new-onset atrial fibrillation / flutter (falls back to 1-year / 30-day if no 5-year model)</t>
        </is>
      </c>
      <c r="D35" s="15" t="inlineStr">
        <is>
          <t>0–100 %</t>
        </is>
      </c>
      <c r="E35" s="15" t="inlineStr">
        <is>
          <t>AI model (calibrated gradient boosting)</t>
        </is>
      </c>
    </row>
    <row r="36" ht="23.85" customHeight="1" s="11">
      <c r="A36" s="15" t="inlineStr">
        <is>
          <t>AF</t>
        </is>
      </c>
      <c r="B36" s="15" t="inlineStr">
        <is>
          <t>Risk category</t>
        </is>
      </c>
      <c r="C36" s="15" t="inlineStr">
        <is>
          <t>Low &lt;5%, Moderate 5–10%, High 10–20%, Very high ≥20% of the 5-year risk (display bands, not treatment thresholds)</t>
        </is>
      </c>
      <c r="D36" s="15" t="inlineStr">
        <is>
          <t>category</t>
        </is>
      </c>
      <c r="E36" s="15" t="inlineStr">
        <is>
          <t>App rule</t>
        </is>
      </c>
    </row>
    <row r="37" ht="23.85" customHeight="1" s="11">
      <c r="A37" s="15" t="inlineStr">
        <is>
          <t>AF</t>
        </is>
      </c>
      <c r="B37" s="15" t="inlineStr">
        <is>
          <t>Risk by horizon</t>
        </is>
      </c>
      <c r="C37" s="15" t="inlineStr">
        <is>
          <t>Probability for every endpoint × 30 days, 1 year, 5 years; cumulative risk never falls with a longer horizon</t>
        </is>
      </c>
      <c r="D37" s="15" t="inlineStr">
        <is>
          <t>table of %</t>
        </is>
      </c>
      <c r="E37" s="15" t="inlineStr">
        <is>
          <t>AI model</t>
        </is>
      </c>
    </row>
    <row r="38" ht="15" customHeight="1" s="11">
      <c r="A38" s="15" t="inlineStr">
        <is>
          <t>AF</t>
        </is>
      </c>
      <c r="B38" s="15" t="inlineStr">
        <is>
          <t>Model performance</t>
        </is>
      </c>
      <c r="C38" s="15" t="inlineStr">
        <is>
          <t>Hold-out C-statistic with 95% CI, target, target met (CI lower bound ≥ target), calibration slope</t>
        </is>
      </c>
      <c r="D38" s="15" t="inlineStr">
        <is>
          <t>numbers</t>
        </is>
      </c>
      <c r="E38" s="15" t="inlineStr">
        <is>
          <t>Bundle manifest</t>
        </is>
      </c>
    </row>
    <row r="39" ht="23.85" customHeight="1" s="11">
      <c r="A39" s="15" t="inlineStr">
        <is>
          <t>AF</t>
        </is>
      </c>
      <c r="B39" s="15" t="inlineStr">
        <is>
          <t>Risk drivers</t>
        </is>
      </c>
      <c r="C39" s="15" t="inlineStr">
        <is>
          <t>Top 8 factors: change in risk when each factor is set to the training cohort's typical value (percentage points)</t>
        </is>
      </c>
      <c r="D39" s="15" t="inlineStr">
        <is>
          <t>list</t>
        </is>
      </c>
      <c r="E39" s="15" t="inlineStr">
        <is>
          <t>AI model</t>
        </is>
      </c>
    </row>
    <row r="40" ht="15" customHeight="1" s="11">
      <c r="A40" s="15" t="inlineStr">
        <is>
          <t>AF</t>
        </is>
      </c>
      <c r="B40" s="15" t="inlineStr">
        <is>
          <t>Published equations</t>
        </is>
      </c>
      <c r="C40" s="15" t="inlineStr">
        <is>
          <t>CHARGE-AF (simple model)</t>
        </is>
      </c>
      <c r="D40" s="15" t="inlineStr">
        <is>
          <t>% / score</t>
        </is>
      </c>
      <c r="E40" s="15" t="inlineStr">
        <is>
          <t>Published equations</t>
        </is>
      </c>
    </row>
    <row r="41" ht="23.85" customHeight="1" s="11">
      <c r="A41" s="15" t="inlineStr">
        <is>
          <t>AF</t>
        </is>
      </c>
      <c r="B41" s="15" t="inlineStr">
        <is>
          <t>Clinical considerations</t>
        </is>
      </c>
      <c r="C41" s="15" t="inlineStr">
        <is>
          <t>Guideline-anchored notes (statin, BP, GDMT, anticoagulation, ICD screen) from published equations and measured values, never from the AI risk</t>
        </is>
      </c>
      <c r="D41" s="15" t="inlineStr">
        <is>
          <t>text</t>
        </is>
      </c>
      <c r="E41" s="15" t="inlineStr">
        <is>
          <t>App rules</t>
        </is>
      </c>
    </row>
    <row r="42" ht="23.85" customHeight="1" s="11">
      <c r="A42" s="15" t="inlineStr">
        <is>
          <t>AF</t>
        </is>
      </c>
      <c r="B42" s="15" t="inlineStr">
        <is>
          <t>Provenance</t>
        </is>
      </c>
      <c r="C42" s="15" t="inlineStr">
        <is>
          <t>Model bundle id, training data source, number of patients, label governance (adjudicated cases, κ range, release id)</t>
        </is>
      </c>
      <c r="D42" s="15" t="inlineStr">
        <is>
          <t>text</t>
        </is>
      </c>
      <c r="E42" s="15" t="inlineStr">
        <is>
          <t>Bundle manifest</t>
        </is>
      </c>
    </row>
    <row r="43" ht="23.85" customHeight="1" s="11">
      <c r="A43" s="15" t="inlineStr">
        <is>
          <t>AF</t>
        </is>
      </c>
      <c r="B43" s="15" t="inlineStr">
        <is>
          <t>Not applicable</t>
        </is>
      </c>
      <c r="C43" s="15" t="inlineStr">
        <is>
          <t>Patient already has atrial fibrillation. The new-onset AF model does not apply; recurrence prediction needs rhythm-monitoring data that this form does not collect.</t>
        </is>
      </c>
      <c r="D43" s="15" t="inlineStr">
        <is>
          <t>text</t>
        </is>
      </c>
      <c r="E43" s="15" t="inlineStr">
        <is>
          <t>App rule</t>
        </is>
      </c>
    </row>
  </sheetData>
  <autoFilter ref="A2:E43"/>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4" customWidth="1" style="10" min="1" max="1"/>
    <col width="22" customWidth="1" style="10" min="2" max="2"/>
    <col width="62" customWidth="1" style="10" min="3" max="3"/>
    <col width="14" customWidth="1" style="10" min="4" max="5"/>
    <col width="30" customWidth="1" style="10" min="6" max="6"/>
  </cols>
  <sheetData>
    <row r="1" ht="30" customHeight="1" s="11">
      <c r="A1" s="20" t="inlineStr">
        <is>
          <t>Score = bias + Σ weights of votes → probability. ≥80% auto-confirmed, ≤20% auto-rejected, otherwise uncertain (sent to cardiologists). Expert-set starting weights (label model expert-v1); refit from adjudication with refit-label-model.</t>
        </is>
      </c>
    </row>
    <row r="2" ht="35.05" customHeight="1" s="11">
      <c r="A2" s="14" t="inlineStr">
        <is>
          <t>Outcome family</t>
        </is>
      </c>
      <c r="B2" s="14" t="inlineStr">
        <is>
          <t>Labelling function</t>
        </is>
      </c>
      <c r="C2" s="14" t="inlineStr">
        <is>
          <t>Evidence it checks</t>
        </is>
      </c>
      <c r="D2" s="14" t="inlineStr">
        <is>
          <t>Weight when it supports (+)</t>
        </is>
      </c>
      <c r="E2" s="14" t="inlineStr">
        <is>
          <t>Weight when it opposes (−)</t>
        </is>
      </c>
      <c r="F2" s="14" t="inlineStr">
        <is>
          <t>Notes</t>
        </is>
      </c>
    </row>
    <row r="3" ht="15" customHeight="1" s="11">
      <c r="A3" s="15" t="inlineStr">
        <is>
          <t>ami</t>
        </is>
      </c>
      <c r="B3" s="15" t="inlineStr">
        <is>
          <t>(bias)</t>
        </is>
      </c>
      <c r="C3" s="15" t="inlineStr">
        <is>
          <t>Starting log-odds before any evidence</t>
        </is>
      </c>
      <c r="D3" s="21" t="n">
        <v>-1</v>
      </c>
      <c r="E3" s="21" t="n"/>
      <c r="F3" s="15" t="n"/>
    </row>
    <row r="4" ht="15" customHeight="1" s="11">
      <c r="A4" s="15" t="inlineStr">
        <is>
          <t>ami</t>
        </is>
      </c>
      <c r="B4" s="15" t="inlineStr">
        <is>
          <t>acute_visit</t>
        </is>
      </c>
      <c r="C4" s="15" t="inlineStr">
        <is>
          <t>Code recorded in an inpatient/ED visit (+) vs outpatient only (−)</t>
        </is>
      </c>
      <c r="D4" s="21" t="n">
        <v>1</v>
      </c>
      <c r="E4" s="21" t="n">
        <v>1.5</v>
      </c>
      <c r="F4" s="15" t="n"/>
    </row>
    <row r="5" ht="15" customHeight="1" s="11">
      <c r="A5" s="15" t="inlineStr">
        <is>
          <t>ami</t>
        </is>
      </c>
      <c r="B5" s="15" t="inlineStr">
        <is>
          <t>primary_dx</t>
        </is>
      </c>
      <c r="C5" s="15" t="inlineStr">
        <is>
          <t>Coded as primary/principal diagnosis</t>
        </is>
      </c>
      <c r="D5" s="21" t="n">
        <v>0.8</v>
      </c>
      <c r="E5" s="21" t="n">
        <v>0</v>
      </c>
      <c r="F5" s="15" t="n"/>
    </row>
    <row r="6" ht="15" customHeight="1" s="11">
      <c r="A6" s="15" t="inlineStr">
        <is>
          <t>ami</t>
        </is>
      </c>
      <c r="B6" s="15" t="inlineStr">
        <is>
          <t>no_dx_code</t>
        </is>
      </c>
      <c r="C6" s="15" t="inlineStr">
        <is>
          <t>Evidence-only candidate (no outcome diagnosis code)</t>
        </is>
      </c>
      <c r="D6" s="21" t="n">
        <v>0</v>
      </c>
      <c r="E6" s="21" t="n">
        <v>0.5</v>
      </c>
      <c r="F6" s="15" t="n"/>
    </row>
    <row r="7" ht="15" customHeight="1" s="11">
      <c r="A7" s="15" t="inlineStr">
        <is>
          <t>ami</t>
        </is>
      </c>
      <c r="B7" s="15" t="inlineStr">
        <is>
          <t>trop_rise_fall</t>
        </is>
      </c>
      <c r="C7" s="15" t="inlineStr">
        <is>
          <t>Troponin &gt;99th-pct URL with rise/fall ≥20%</t>
        </is>
      </c>
      <c r="D7" s="21" t="n">
        <v>2.5</v>
      </c>
      <c r="E7" s="21" t="n">
        <v>0</v>
      </c>
      <c r="F7" s="15" t="n"/>
    </row>
    <row r="8" ht="15" customHeight="1" s="11">
      <c r="A8" s="15" t="inlineStr">
        <is>
          <t>ami</t>
        </is>
      </c>
      <c r="B8" s="15" t="inlineStr">
        <is>
          <t>trop_elevated_flat</t>
        </is>
      </c>
      <c r="C8" s="15" t="inlineStr">
        <is>
          <t>Troponin elevated without documented rise/fall</t>
        </is>
      </c>
      <c r="D8" s="21" t="n">
        <v>0.5</v>
      </c>
      <c r="E8" s="21" t="n">
        <v>0</v>
      </c>
      <c r="F8" s="15" t="n"/>
    </row>
    <row r="9" ht="15" customHeight="1" s="11">
      <c r="A9" s="15" t="inlineStr">
        <is>
          <t>ami</t>
        </is>
      </c>
      <c r="B9" s="15" t="inlineStr">
        <is>
          <t>trop_normal</t>
        </is>
      </c>
      <c r="C9" s="15" t="inlineStr">
        <is>
          <t>Troponin measured and all values ≤ URL</t>
        </is>
      </c>
      <c r="D9" s="21" t="n">
        <v>0</v>
      </c>
      <c r="E9" s="21" t="n">
        <v>3</v>
      </c>
      <c r="F9" s="15" t="n"/>
    </row>
    <row r="10" ht="15" customHeight="1" s="11">
      <c r="A10" s="15" t="inlineStr">
        <is>
          <t>ami</t>
        </is>
      </c>
      <c r="B10" s="15" t="inlineStr">
        <is>
          <t>coronary_procedure</t>
        </is>
      </c>
      <c r="C10" s="15" t="inlineStr">
        <is>
          <t>Coronary angiography or PCI in window</t>
        </is>
      </c>
      <c r="D10" s="21" t="n">
        <v>1</v>
      </c>
      <c r="E10" s="21" t="n">
        <v>0</v>
      </c>
      <c r="F10" s="15" t="n"/>
    </row>
    <row r="11" ht="15" customHeight="1" s="11">
      <c r="A11" s="15" t="inlineStr">
        <is>
          <t>ami</t>
        </is>
      </c>
      <c r="B11" s="15" t="inlineStr">
        <is>
          <t>note_mi</t>
        </is>
      </c>
      <c r="C11" s="15" t="inlineStr">
        <is>
          <t>MI affirmed (+) / negated (−) in notes</t>
        </is>
      </c>
      <c r="D11" s="21" t="n">
        <v>1.5</v>
      </c>
      <c r="E11" s="21" t="n">
        <v>2</v>
      </c>
      <c r="F11" s="15" t="n"/>
    </row>
    <row r="12" ht="15" customHeight="1" s="11">
      <c r="A12" s="15" t="inlineStr">
        <is>
          <t>ami</t>
        </is>
      </c>
      <c r="B12" s="15" t="inlineStr">
        <is>
          <t>note_mi_historical</t>
        </is>
      </c>
      <c r="C12" s="15" t="inlineStr">
        <is>
          <t>MI mentioned only as history</t>
        </is>
      </c>
      <c r="D12" s="21" t="n">
        <v>0</v>
      </c>
      <c r="E12" s="21" t="n">
        <v>1.5</v>
      </c>
      <c r="F12" s="15" t="n"/>
    </row>
    <row r="13" ht="15" customHeight="1" s="11">
      <c r="A13" s="15" t="inlineStr">
        <is>
          <t>stroke</t>
        </is>
      </c>
      <c r="B13" s="15" t="inlineStr">
        <is>
          <t>(bias)</t>
        </is>
      </c>
      <c r="C13" s="15" t="inlineStr">
        <is>
          <t>Starting log-odds before any evidence</t>
        </is>
      </c>
      <c r="D13" s="21" t="n">
        <v>-1</v>
      </c>
      <c r="E13" s="21" t="n"/>
      <c r="F13" s="15" t="n"/>
    </row>
    <row r="14" ht="15" customHeight="1" s="11">
      <c r="A14" s="15" t="inlineStr">
        <is>
          <t>stroke</t>
        </is>
      </c>
      <c r="B14" s="15" t="inlineStr">
        <is>
          <t>acute_visit</t>
        </is>
      </c>
      <c r="C14" s="15" t="inlineStr">
        <is>
          <t>Code recorded in an inpatient/ED visit (+) vs outpatient only (−)</t>
        </is>
      </c>
      <c r="D14" s="21" t="n">
        <v>1</v>
      </c>
      <c r="E14" s="21" t="n">
        <v>1.5</v>
      </c>
      <c r="F14" s="15" t="n"/>
    </row>
    <row r="15" ht="15" customHeight="1" s="11">
      <c r="A15" s="15" t="inlineStr">
        <is>
          <t>stroke</t>
        </is>
      </c>
      <c r="B15" s="15" t="inlineStr">
        <is>
          <t>primary_dx</t>
        </is>
      </c>
      <c r="C15" s="15" t="inlineStr">
        <is>
          <t>Coded as primary/principal diagnosis</t>
        </is>
      </c>
      <c r="D15" s="21" t="n">
        <v>0.8</v>
      </c>
      <c r="E15" s="21" t="n">
        <v>0</v>
      </c>
      <c r="F15" s="15" t="n"/>
    </row>
    <row r="16" ht="15" customHeight="1" s="11">
      <c r="A16" s="15" t="inlineStr">
        <is>
          <t>stroke</t>
        </is>
      </c>
      <c r="B16" s="15" t="inlineStr">
        <is>
          <t>no_dx_code</t>
        </is>
      </c>
      <c r="C16" s="15" t="inlineStr">
        <is>
          <t>Evidence-only candidate (no outcome diagnosis code)</t>
        </is>
      </c>
      <c r="D16" s="21" t="n">
        <v>0</v>
      </c>
      <c r="E16" s="21" t="n">
        <v>0.5</v>
      </c>
      <c r="F16" s="15" t="n"/>
    </row>
    <row r="17" ht="15" customHeight="1" s="11">
      <c r="A17" s="15" t="inlineStr">
        <is>
          <t>stroke</t>
        </is>
      </c>
      <c r="B17" s="15" t="inlineStr">
        <is>
          <t>neuroimaging</t>
        </is>
      </c>
      <c r="C17" s="15" t="inlineStr">
        <is>
          <t>Head CT/MRI in window (+); acute visit without imaging (−)</t>
        </is>
      </c>
      <c r="D17" s="21" t="n">
        <v>0.8</v>
      </c>
      <c r="E17" s="21" t="n">
        <v>1.5</v>
      </c>
      <c r="F17" s="15" t="n"/>
    </row>
    <row r="18" ht="15" customHeight="1" s="11">
      <c r="A18" s="15" t="inlineStr">
        <is>
          <t>stroke</t>
        </is>
      </c>
      <c r="B18" s="15" t="inlineStr">
        <is>
          <t>img_infarct</t>
        </is>
      </c>
      <c r="C18" s="15" t="inlineStr">
        <is>
          <t>Acute infarct / restricted diffusion reported</t>
        </is>
      </c>
      <c r="D18" s="21" t="n">
        <v>2</v>
      </c>
      <c r="E18" s="21" t="n">
        <v>0</v>
      </c>
      <c r="F18" s="15" t="n"/>
    </row>
    <row r="19" ht="15" customHeight="1" s="11">
      <c r="A19" s="15" t="inlineStr">
        <is>
          <t>stroke</t>
        </is>
      </c>
      <c r="B19" s="15" t="inlineStr">
        <is>
          <t>img_hemorrhage</t>
        </is>
      </c>
      <c r="C19" s="15" t="inlineStr">
        <is>
          <t>Acute intracranial hemorrhage reported</t>
        </is>
      </c>
      <c r="D19" s="21" t="n">
        <v>2.5</v>
      </c>
      <c r="E19" s="21" t="n">
        <v>0</v>
      </c>
      <c r="F19" s="15" t="n"/>
    </row>
    <row r="20" ht="15" customHeight="1" s="11">
      <c r="A20" s="15" t="inlineStr">
        <is>
          <t>stroke</t>
        </is>
      </c>
      <c r="B20" s="15" t="inlineStr">
        <is>
          <t>img_negative</t>
        </is>
      </c>
      <c r="C20" s="15" t="inlineStr">
        <is>
          <t>'No acute intracranial abnormality' without infarct/hemorrhage</t>
        </is>
      </c>
      <c r="D20" s="21" t="n">
        <v>0</v>
      </c>
      <c r="E20" s="21" t="n">
        <v>0.7</v>
      </c>
      <c r="F20" s="15" t="n"/>
    </row>
    <row r="21" ht="15" customHeight="1" s="11">
      <c r="A21" s="15" t="inlineStr">
        <is>
          <t>stroke</t>
        </is>
      </c>
      <c r="B21" s="15" t="inlineStr">
        <is>
          <t>note_stroke</t>
        </is>
      </c>
      <c r="C21" s="15" t="inlineStr">
        <is>
          <t>Stroke/TIA affirmed (+) / negated or history-only (−)</t>
        </is>
      </c>
      <c r="D21" s="21" t="n">
        <v>1.5</v>
      </c>
      <c r="E21" s="21" t="n">
        <v>2</v>
      </c>
      <c r="F21" s="15" t="n"/>
    </row>
    <row r="22" ht="15" customHeight="1" s="11">
      <c r="A22" s="15" t="inlineStr">
        <is>
          <t>stroke</t>
        </is>
      </c>
      <c r="B22" s="15" t="inlineStr">
        <is>
          <t>reperfusion</t>
        </is>
      </c>
      <c r="C22" s="15" t="inlineStr">
        <is>
          <t>Thrombolysis or thrombectomy</t>
        </is>
      </c>
      <c r="D22" s="21" t="n">
        <v>1.5</v>
      </c>
      <c r="E22" s="21" t="n">
        <v>0</v>
      </c>
      <c r="F22" s="15" t="n"/>
    </row>
    <row r="23" ht="15" customHeight="1" s="11">
      <c r="A23" s="15" t="inlineStr">
        <is>
          <t>hf</t>
        </is>
      </c>
      <c r="B23" s="15" t="inlineStr">
        <is>
          <t>(bias)</t>
        </is>
      </c>
      <c r="C23" s="15" t="inlineStr">
        <is>
          <t>Starting log-odds before any evidence</t>
        </is>
      </c>
      <c r="D23" s="21" t="n">
        <v>-1</v>
      </c>
      <c r="E23" s="21" t="n"/>
      <c r="F23" s="15" t="n"/>
    </row>
    <row r="24" ht="15" customHeight="1" s="11">
      <c r="A24" s="15" t="inlineStr">
        <is>
          <t>hf</t>
        </is>
      </c>
      <c r="B24" s="15" t="inlineStr">
        <is>
          <t>acute_visit</t>
        </is>
      </c>
      <c r="C24" s="15" t="inlineStr">
        <is>
          <t>Code recorded in an inpatient/ED visit (+) vs outpatient only (−)</t>
        </is>
      </c>
      <c r="D24" s="21" t="n">
        <v>1</v>
      </c>
      <c r="E24" s="21" t="n">
        <v>1</v>
      </c>
      <c r="F24" s="15" t="n"/>
    </row>
    <row r="25" ht="15" customHeight="1" s="11">
      <c r="A25" s="15" t="inlineStr">
        <is>
          <t>hf</t>
        </is>
      </c>
      <c r="B25" s="15" t="inlineStr">
        <is>
          <t>primary_dx</t>
        </is>
      </c>
      <c r="C25" s="15" t="inlineStr">
        <is>
          <t>Coded as primary/principal diagnosis</t>
        </is>
      </c>
      <c r="D25" s="21" t="n">
        <v>0.8</v>
      </c>
      <c r="E25" s="21" t="n">
        <v>0</v>
      </c>
      <c r="F25" s="15" t="n"/>
    </row>
    <row r="26" ht="15" customHeight="1" s="11">
      <c r="A26" s="15" t="inlineStr">
        <is>
          <t>hf</t>
        </is>
      </c>
      <c r="B26" s="15" t="inlineStr">
        <is>
          <t>no_dx_code</t>
        </is>
      </c>
      <c r="C26" s="15" t="inlineStr">
        <is>
          <t>Evidence-only candidate (no outcome diagnosis code)</t>
        </is>
      </c>
      <c r="D26" s="21" t="n">
        <v>0</v>
      </c>
      <c r="E26" s="21" t="n">
        <v>0.5</v>
      </c>
      <c r="F26" s="15" t="n"/>
    </row>
    <row r="27" ht="15" customHeight="1" s="11">
      <c r="A27" s="15" t="inlineStr">
        <is>
          <t>hf</t>
        </is>
      </c>
      <c r="B27" s="15" t="inlineStr">
        <is>
          <t>natriuretic_peptide</t>
        </is>
      </c>
      <c r="C27" s="15" t="inlineStr">
        <is>
          <t>BNP/NT-proBNP above rule-in (+) / all below rule-out (−)</t>
        </is>
      </c>
      <c r="D27" s="21" t="n">
        <v>1.5</v>
      </c>
      <c r="E27" s="21" t="n">
        <v>2</v>
      </c>
      <c r="F27" s="15" t="n"/>
    </row>
    <row r="28" ht="15" customHeight="1" s="11">
      <c r="A28" s="15" t="inlineStr">
        <is>
          <t>hf</t>
        </is>
      </c>
      <c r="B28" s="15" t="inlineStr">
        <is>
          <t>note_hf</t>
        </is>
      </c>
      <c r="C28" s="15" t="inlineStr">
        <is>
          <t>Acute/decompensated HF affirmed (+) / HF negated (−)</t>
        </is>
      </c>
      <c r="D28" s="21" t="n">
        <v>1.5</v>
      </c>
      <c r="E28" s="21" t="n">
        <v>1.5</v>
      </c>
      <c r="F28" s="15" t="n"/>
    </row>
    <row r="29" ht="15" customHeight="1" s="11">
      <c r="A29" s="15" t="inlineStr">
        <is>
          <t>hf</t>
        </is>
      </c>
      <c r="B29" s="15" t="inlineStr">
        <is>
          <t>echo</t>
        </is>
      </c>
      <c r="C29" s="15" t="inlineStr">
        <is>
          <t>Echocardiogram or LVEF reported in window</t>
        </is>
      </c>
      <c r="D29" s="21" t="n">
        <v>0.3</v>
      </c>
      <c r="E29" s="21" t="n">
        <v>0</v>
      </c>
      <c r="F29" s="15" t="n"/>
    </row>
    <row r="30" ht="15" customHeight="1" s="11">
      <c r="A30" s="15" t="inlineStr">
        <is>
          <t>scd</t>
        </is>
      </c>
      <c r="B30" s="15" t="inlineStr">
        <is>
          <t>(bias)</t>
        </is>
      </c>
      <c r="C30" s="15" t="inlineStr">
        <is>
          <t>Starting log-odds before any evidence</t>
        </is>
      </c>
      <c r="D30" s="21" t="n">
        <v>-1</v>
      </c>
      <c r="E30" s="21" t="n"/>
      <c r="F30" s="15" t="n"/>
    </row>
    <row r="31" ht="15" customHeight="1" s="11">
      <c r="A31" s="15" t="inlineStr">
        <is>
          <t>scd</t>
        </is>
      </c>
      <c r="B31" s="15" t="inlineStr">
        <is>
          <t>acute_visit</t>
        </is>
      </c>
      <c r="C31" s="15" t="inlineStr">
        <is>
          <t>Code recorded in an inpatient/ED visit (+) vs outpatient only (−)</t>
        </is>
      </c>
      <c r="D31" s="21" t="n">
        <v>1</v>
      </c>
      <c r="E31" s="21" t="n">
        <v>1</v>
      </c>
      <c r="F31" s="15" t="n"/>
    </row>
    <row r="32" ht="15" customHeight="1" s="11">
      <c r="A32" s="15" t="inlineStr">
        <is>
          <t>scd</t>
        </is>
      </c>
      <c r="B32" s="15" t="inlineStr">
        <is>
          <t>primary_dx</t>
        </is>
      </c>
      <c r="C32" s="15" t="inlineStr">
        <is>
          <t>Coded as primary/principal diagnosis</t>
        </is>
      </c>
      <c r="D32" s="21" t="n">
        <v>0.8</v>
      </c>
      <c r="E32" s="21" t="n">
        <v>0</v>
      </c>
      <c r="F32" s="15" t="n"/>
    </row>
    <row r="33" ht="15" customHeight="1" s="11">
      <c r="A33" s="15" t="inlineStr">
        <is>
          <t>scd</t>
        </is>
      </c>
      <c r="B33" s="15" t="inlineStr">
        <is>
          <t>no_dx_code</t>
        </is>
      </c>
      <c r="C33" s="15" t="inlineStr">
        <is>
          <t>Evidence-only candidate (no outcome diagnosis code)</t>
        </is>
      </c>
      <c r="D33" s="21" t="n">
        <v>0</v>
      </c>
      <c r="E33" s="21" t="n">
        <v>0.5</v>
      </c>
      <c r="F33" s="15" t="n"/>
    </row>
    <row r="34" ht="15" customHeight="1" s="11">
      <c r="A34" s="15" t="inlineStr">
        <is>
          <t>scd</t>
        </is>
      </c>
      <c r="B34" s="15" t="inlineStr">
        <is>
          <t>resuscitation</t>
        </is>
      </c>
      <c r="C34" s="15" t="inlineStr">
        <is>
          <t>CPR or defibrillation in window</t>
        </is>
      </c>
      <c r="D34" s="21" t="n">
        <v>2.5</v>
      </c>
      <c r="E34" s="21" t="n">
        <v>0</v>
      </c>
      <c r="F34" s="15" t="n"/>
    </row>
    <row r="35" ht="15" customHeight="1" s="11">
      <c r="A35" s="15" t="inlineStr">
        <is>
          <t>scd</t>
        </is>
      </c>
      <c r="B35" s="15" t="inlineStr">
        <is>
          <t>note_arrest</t>
        </is>
      </c>
      <c r="C35" s="15" t="inlineStr">
        <is>
          <t>Arrest/VF/sustained VT/ROSC affirmed (+) / negated (−)</t>
        </is>
      </c>
      <c r="D35" s="21" t="n">
        <v>1.5</v>
      </c>
      <c r="E35" s="21" t="n">
        <v>1.5</v>
      </c>
      <c r="F35" s="15" t="n"/>
    </row>
    <row r="36" ht="15" customHeight="1" s="11">
      <c r="A36" s="15" t="inlineStr">
        <is>
          <t>scd</t>
        </is>
      </c>
      <c r="B36" s="15" t="inlineStr">
        <is>
          <t>note_nsvt</t>
        </is>
      </c>
      <c r="C36" s="15" t="inlineStr">
        <is>
          <t>Only non-sustained VT documented</t>
        </is>
      </c>
      <c r="D36" s="21" t="n">
        <v>0</v>
      </c>
      <c r="E36" s="21" t="n">
        <v>2.5</v>
      </c>
      <c r="F36" s="15" t="n"/>
    </row>
    <row r="37" ht="15" customHeight="1" s="11">
      <c r="A37" s="15" t="inlineStr">
        <is>
          <t>scd</t>
        </is>
      </c>
      <c r="B37" s="15" t="inlineStr">
        <is>
          <t>died_within_1d</t>
        </is>
      </c>
      <c r="C37" s="15" t="inlineStr">
        <is>
          <t>Death within 1 day</t>
        </is>
      </c>
      <c r="D37" s="21" t="n">
        <v>1</v>
      </c>
      <c r="E37" s="21" t="n">
        <v>0</v>
      </c>
      <c r="F37" s="15" t="n"/>
    </row>
    <row r="38" ht="15" customHeight="1" s="11">
      <c r="A38" s="15" t="inlineStr">
        <is>
          <t>af</t>
        </is>
      </c>
      <c r="B38" s="15" t="inlineStr">
        <is>
          <t>(bias)</t>
        </is>
      </c>
      <c r="C38" s="15" t="inlineStr">
        <is>
          <t>Starting log-odds before any evidence</t>
        </is>
      </c>
      <c r="D38" s="21" t="n">
        <v>0</v>
      </c>
      <c r="E38" s="21" t="n"/>
      <c r="F38" s="15" t="n"/>
    </row>
    <row r="39" ht="15" customHeight="1" s="11">
      <c r="A39" s="15" t="inlineStr">
        <is>
          <t>af</t>
        </is>
      </c>
      <c r="B39" s="15" t="inlineStr">
        <is>
          <t>no_dx_code</t>
        </is>
      </c>
      <c r="C39" s="15" t="inlineStr">
        <is>
          <t>Evidence-only candidate (no outcome diagnosis code)</t>
        </is>
      </c>
      <c r="D39" s="21" t="n">
        <v>0</v>
      </c>
      <c r="E39" s="21" t="n">
        <v>0.5</v>
      </c>
      <c r="F39" s="15" t="n"/>
    </row>
    <row r="40" ht="15" customHeight="1" s="11">
      <c r="A40" s="15" t="inlineStr">
        <is>
          <t>af</t>
        </is>
      </c>
      <c r="B40" s="15" t="inlineStr">
        <is>
          <t>repeat_af_codes</t>
        </is>
      </c>
      <c r="C40" s="15" t="inlineStr">
        <is>
          <t>AF coded on ≥2 dates within 1 year (+) / single outpatient code (−)</t>
        </is>
      </c>
      <c r="D40" s="21" t="n">
        <v>1.5</v>
      </c>
      <c r="E40" s="21" t="n">
        <v>0.5</v>
      </c>
      <c r="F40" s="15" t="n"/>
    </row>
    <row r="41" ht="15" customHeight="1" s="11">
      <c r="A41" s="15" t="inlineStr">
        <is>
          <t>af</t>
        </is>
      </c>
      <c r="B41" s="15" t="inlineStr">
        <is>
          <t>note_af</t>
        </is>
      </c>
      <c r="C41" s="15" t="inlineStr">
        <is>
          <t>AF/flutter affirmed (+) / negated or only 'evaluate for' (−)</t>
        </is>
      </c>
      <c r="D41" s="21" t="n">
        <v>2</v>
      </c>
      <c r="E41" s="21" t="n">
        <v>1.5</v>
      </c>
      <c r="F41" s="15" t="n"/>
    </row>
    <row r="42" ht="15" customHeight="1" s="11">
      <c r="A42" s="15" t="inlineStr">
        <is>
          <t>af</t>
        </is>
      </c>
      <c r="B42" s="15" t="inlineStr">
        <is>
          <t>cardioversion</t>
        </is>
      </c>
      <c r="C42" s="15" t="inlineStr">
        <is>
          <t>Cardioversion performed</t>
        </is>
      </c>
      <c r="D42" s="21" t="n">
        <v>1</v>
      </c>
      <c r="E42" s="21" t="n">
        <v>0</v>
      </c>
      <c r="F42" s="15" t="n"/>
    </row>
  </sheetData>
  <autoFilter ref="A2:F42"/>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28" customWidth="1" style="10" min="1" max="1"/>
    <col width="20" customWidth="1" style="10" min="2" max="2"/>
    <col width="90" customWidth="1" style="10" min="3" max="3"/>
    <col width="26" customWidth="1" style="10" min="4" max="4"/>
  </cols>
  <sheetData>
    <row r="1" ht="30" customHeight="1" s="11">
      <c r="A1" s="20" t="inlineStr">
        <is>
          <t>Automatic annotation: how candidate episodes, note context, subtypes and imaging values are derived.</t>
        </is>
      </c>
    </row>
    <row r="2" ht="15" customHeight="1" s="11">
      <c r="A2" s="14" t="inlineStr">
        <is>
          <t>Rule</t>
        </is>
      </c>
      <c r="B2" s="14" t="inlineStr">
        <is>
          <t>Applies to</t>
        </is>
      </c>
      <c r="C2" s="14" t="inlineStr">
        <is>
          <t>Logic</t>
        </is>
      </c>
      <c r="D2" s="14" t="inlineStr">
        <is>
          <t>Evidence / file</t>
        </is>
      </c>
    </row>
    <row r="3" ht="23.85" customHeight="1" s="11">
      <c r="A3" s="15" t="inlineStr">
        <is>
          <t>Episode building</t>
        </is>
      </c>
      <c r="B3" s="15" t="inlineStr">
        <is>
          <t>All outcomes</t>
        </is>
      </c>
      <c r="C3" s="15" t="inlineStr">
        <is>
          <t>Post-index outcome codes for one patient and family with ≤7 days between consecutive codes form one candidate episode; date = first code</t>
        </is>
      </c>
      <c r="D3" s="15" t="inlineStr">
        <is>
          <t>Codes</t>
        </is>
      </c>
    </row>
    <row r="4" ht="23.85" customHeight="1" s="11">
      <c r="A4" s="15" t="inlineStr">
        <is>
          <t>Evidence-only candidates</t>
        </is>
      </c>
      <c r="B4" s="15" t="inlineStr">
        <is>
          <t>AMI, Stroke, SCD, AF</t>
        </is>
      </c>
      <c r="C4" s="15" t="inlineStr">
        <is>
          <t>PCI, thrombolysis/thrombectomy, CPR or cardioversion with no outcome code within 7 days creates a candidate (finds missed codes)</t>
        </is>
      </c>
      <c r="D4" s="15" t="inlineStr">
        <is>
          <t>Procedures</t>
        </is>
      </c>
    </row>
    <row r="5" ht="23.85" customHeight="1" s="11">
      <c r="A5" s="15" t="inlineStr">
        <is>
          <t>Label relevance</t>
        </is>
      </c>
      <c r="B5" s="15" t="inlineStr">
        <is>
          <t>All outcomes</t>
        </is>
      </c>
      <c r="C5" s="15" t="inlineStr">
        <is>
          <t>Candidates after a patient's first auto-confirmed (and definition-eligible) event cannot change a label and are not adjudicated</t>
        </is>
      </c>
      <c r="D5" s="15" t="inlineStr">
        <is>
          <t>Auto-labels</t>
        </is>
      </c>
    </row>
    <row r="6" ht="23.85" customHeight="1" s="11">
      <c r="A6" s="15" t="inlineStr">
        <is>
          <t>Note context (NegEx-style)</t>
        </is>
      </c>
      <c r="B6" s="15" t="inlineStr">
        <is>
          <t>All outcomes</t>
        </is>
      </c>
      <c r="C6" s="15" t="inlineStr">
        <is>
          <t>Each mention classed as affirmed, negated (no / ruled out / without …), historical (history of / prior / s/p) or hypothetical (rule out / evaluate for / possible)</t>
        </is>
      </c>
      <c r="D6" s="15" t="inlineStr">
        <is>
          <t>Notes, 45-character window</t>
        </is>
      </c>
    </row>
    <row r="7" ht="23.85" customHeight="1" s="11">
      <c r="A7" s="15" t="inlineStr">
        <is>
          <t>Mention patterns</t>
        </is>
      </c>
      <c r="B7" s="15" t="inlineStr">
        <is>
          <t>All outcomes</t>
        </is>
      </c>
      <c r="C7" s="15" t="inlineStr">
        <is>
          <t>ami: ami, nstemi, stemi, type2_mi; stroke: stroke, stroke_ischemic_img, stroke_hem_img, no_acute_intracranial; hf: hf_acute, hf_any; scd: arrest, nsvt, vf; af: af, flutter</t>
        </is>
      </c>
      <c r="D7" s="15" t="inlineStr">
        <is>
          <t>training/nlp.py</t>
        </is>
      </c>
    </row>
    <row r="8" ht="23.85" customHeight="1" s="11">
      <c r="A8" s="15" t="inlineStr">
        <is>
          <t>Troponin kinetics</t>
        </is>
      </c>
      <c r="B8" s="15" t="inlineStr">
        <is>
          <t>AMI</t>
        </is>
      </c>
      <c r="C8" s="15" t="inlineStr">
        <is>
          <t>Values normalised to ng/L; URL = range_high, else Mayo TRPS hs-TnT ≤15 (M) / ≤10 (F) ng/L; rise/fall = ≥20% change above URL, or Mayo rule ≥10 ng/L in 2 h / ≥12 ng/L in 6 h</t>
        </is>
      </c>
      <c r="D8" s="15" t="inlineStr">
        <is>
          <t>Labs −1 to +3 d</t>
        </is>
      </c>
    </row>
    <row r="9" ht="23.85" customHeight="1" s="11">
      <c r="A9" s="15" t="inlineStr">
        <is>
          <t>Natriuretic peptides</t>
        </is>
      </c>
      <c r="B9" s="15" t="inlineStr">
        <is>
          <t>HF</t>
        </is>
      </c>
      <c r="C9" s="15" t="inlineStr">
        <is>
          <t>Rule-in BNP ≥100 or NT-proBNP ≥450/900/1800 pg/mL (age &lt;50 / 50–75 / &gt;75); rule-out BNP &lt;100 and NT-proBNP &lt;300</t>
        </is>
      </c>
      <c r="D9" s="15" t="inlineStr">
        <is>
          <t>Labs −2 to +3 d</t>
        </is>
      </c>
    </row>
    <row r="10" ht="23.85" customHeight="1" s="11">
      <c r="A10" s="15" t="inlineStr">
        <is>
          <t>AMI subtype</t>
        </is>
      </c>
      <c r="B10" s="15" t="inlineStr">
        <is>
          <t>AMI</t>
        </is>
      </c>
      <c r="C10" s="15" t="inlineStr">
        <is>
          <t>I21.A1 or 'type 2 MI / demand ischemia' → type 2; I21.0–I21.3 or STEMI → STEMI; I21.4 or NSTEMI → NSTEMI; else unspecified</t>
        </is>
      </c>
      <c r="D10" s="15" t="inlineStr">
        <is>
          <t>Codes + notes</t>
        </is>
      </c>
    </row>
    <row r="11" ht="23.85" customHeight="1" s="11">
      <c r="A11" s="15" t="inlineStr">
        <is>
          <t>Stroke subtype</t>
        </is>
      </c>
      <c r="B11" s="15" t="inlineStr">
        <is>
          <t>Stroke</t>
        </is>
      </c>
      <c r="C11" s="15" t="inlineStr">
        <is>
          <t>Haemorrhage on imaging or I60–I62 → haemorrhagic; acute infarct or I63 → ischaemic; G45 → TIA; else unknown</t>
        </is>
      </c>
      <c r="D11" s="15" t="inlineStr">
        <is>
          <t>Codes + reports</t>
        </is>
      </c>
    </row>
    <row r="12" ht="23.85" customHeight="1" s="11">
      <c r="A12" s="15" t="inlineStr">
        <is>
          <t>HF subtype</t>
        </is>
      </c>
      <c r="B12" s="15" t="inlineStr">
        <is>
          <t>HF</t>
        </is>
      </c>
      <c r="C12" s="15" t="inlineStr">
        <is>
          <t>LVEF from echo/imaging −7 to +30 d: ≤40% HFrEF, 41–49% HFmrEF, ≥50% HFpEF; else I50.2/I50.4 → HFrEF, I50.3 → HFpEF; else unknown</t>
        </is>
      </c>
      <c r="D12" s="15" t="inlineStr">
        <is>
          <t>Echo notes + codes</t>
        </is>
      </c>
    </row>
    <row r="13" ht="15" customHeight="1" s="11">
      <c r="A13" s="15" t="inlineStr">
        <is>
          <t>SCD subtype</t>
        </is>
      </c>
      <c r="B13" s="15" t="inlineStr">
        <is>
          <t>SCD</t>
        </is>
      </c>
      <c r="C13" s="15" t="inlineStr">
        <is>
          <t>VF mention or I49.01 → VF; I47.2 with arrest → sustained VT; I46 or arrest → arrest; else unknown</t>
        </is>
      </c>
      <c r="D13" s="15" t="inlineStr">
        <is>
          <t>Codes + notes</t>
        </is>
      </c>
    </row>
    <row r="14" ht="15" customHeight="1" s="11">
      <c r="A14" s="15" t="inlineStr">
        <is>
          <t>AF subtype</t>
        </is>
      </c>
      <c r="B14" s="15" t="inlineStr">
        <is>
          <t>AF</t>
        </is>
      </c>
      <c r="C14" s="15" t="inlineStr">
        <is>
          <t>Cardiac surgery in the 30 days before → post-operative; flutter-only codes/mentions → flutter; else AF</t>
        </is>
      </c>
      <c r="D14" s="15" t="inlineStr">
        <is>
          <t>Procedures + codes + notes</t>
        </is>
      </c>
    </row>
    <row r="15" ht="23.85" customHeight="1" s="11">
      <c r="A15" s="15" t="inlineStr">
        <is>
          <t>LVEF extraction (feature + annotation)</t>
        </is>
      </c>
      <c r="B15" s="15" t="inlineStr">
        <is>
          <t>HF, SCD, AF inputs</t>
        </is>
      </c>
      <c r="C15" s="15" t="inlineStr">
        <is>
          <t>'LVEF / ejection fraction … NN%' or 'NN percent'; ranges → midpoint; accepted 5–85%</t>
        </is>
      </c>
      <c r="D15" s="15" t="inlineStr">
        <is>
          <t>training/imaging_nlp.py</t>
        </is>
      </c>
    </row>
    <row r="16" ht="23.85" customHeight="1" s="11">
      <c r="A16" s="15" t="inlineStr">
        <is>
          <t>Calcium score extraction</t>
        </is>
      </c>
      <c r="B16" s="15" t="inlineStr">
        <is>
          <t>AMI, Stroke, HF inputs</t>
        </is>
      </c>
      <c r="C16" s="15" t="inlineStr">
        <is>
          <t>'calcium score / Agatston … N', 'N Agatston', 'calcium … score N'; 'no coronary calcification' → 0; accepted 0–10,000</t>
        </is>
      </c>
      <c r="D16" s="15" t="inlineStr">
        <is>
          <t>training/imaging_nlp.py</t>
        </is>
      </c>
    </row>
    <row r="17" ht="23.85" customHeight="1" s="11">
      <c r="A17" s="15" t="inlineStr">
        <is>
          <t>Annotation verification</t>
        </is>
      </c>
      <c r="B17" s="15" t="inlineStr">
        <is>
          <t>LVEF, CAC</t>
        </is>
      </c>
      <c r="C17" s="15" t="inlineStr">
        <is>
          <t>100 reports (80% with an extracted value, 20% without) checked by a cardiologist; accuracy weighted by 1/sampling probability; gate ≥90%</t>
        </is>
      </c>
      <c r="D17" s="15" t="inlineStr">
        <is>
          <t>Workbench</t>
        </is>
      </c>
    </row>
  </sheetData>
  <autoFilter ref="A2:D17"/>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4"/>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20" customWidth="1" style="10" min="1" max="1"/>
    <col width="14" customWidth="1" style="10" min="2" max="2"/>
    <col width="70" customWidth="1" style="10" min="3" max="3"/>
    <col width="20" customWidth="1" style="10" min="4" max="4"/>
    <col width="22" customWidth="1" style="10" min="5" max="5"/>
  </cols>
  <sheetData>
    <row r="1" ht="30" customHeight="1" s="11">
      <c r="A1" s="20" t="inlineStr">
        <is>
          <t>22 checks run on every label run (training/audit.py); thresholds from data/governance.json. Warnings must be acknowledged and failures waived with a written reason or fixed before adjudication.</t>
        </is>
      </c>
    </row>
    <row r="2" ht="15" customHeight="1" s="11">
      <c r="A2" s="14" t="inlineStr">
        <is>
          <t>Check id</t>
        </is>
      </c>
      <c r="B2" s="14" t="inlineStr">
        <is>
          <t>Category</t>
        </is>
      </c>
      <c r="C2" s="14" t="inlineStr">
        <is>
          <t>What is checked</t>
        </is>
      </c>
      <c r="D2" s="14" t="inlineStr">
        <is>
          <t>Warn when</t>
        </is>
      </c>
      <c r="E2" s="14" t="inlineStr">
        <is>
          <t>Fail when</t>
        </is>
      </c>
    </row>
    <row r="3" ht="15" customHeight="1" s="11">
      <c r="A3" s="15" t="inlineStr">
        <is>
          <t>schema</t>
        </is>
      </c>
      <c r="B3" s="15" t="inlineStr">
        <is>
          <t>Schema</t>
        </is>
      </c>
      <c r="C3" s="15" t="inlineStr">
        <is>
          <t>Required columns present in the features table</t>
        </is>
      </c>
      <c r="D3" s="15" t="inlineStr">
        <is>
          <t>—</t>
        </is>
      </c>
      <c r="E3" s="15" t="inlineStr">
        <is>
          <t>any missing</t>
        </is>
      </c>
    </row>
    <row r="4" ht="15" customHeight="1" s="11">
      <c r="A4" s="15" t="inlineStr">
        <is>
          <t>orphans</t>
        </is>
      </c>
      <c r="B4" s="15" t="inlineStr">
        <is>
          <t>Schema</t>
        </is>
      </c>
      <c r="C4" s="15" t="inlineStr">
        <is>
          <t>Candidates for patients not in the cohort</t>
        </is>
      </c>
      <c r="D4" s="15" t="inlineStr">
        <is>
          <t>—</t>
        </is>
      </c>
      <c r="E4" s="15" t="inlineStr">
        <is>
          <t>&gt; 0</t>
        </is>
      </c>
    </row>
    <row r="5" ht="15" customHeight="1" s="11">
      <c r="A5" s="15" t="inlineStr">
        <is>
          <t>evidence_tables</t>
        </is>
      </c>
      <c r="B5" s="15" t="inlineStr">
        <is>
          <t>Schema</t>
        </is>
      </c>
      <c r="C5" s="15" t="inlineStr">
        <is>
          <t>Labs, procedures and notes tables are non-empty</t>
        </is>
      </c>
      <c r="D5" s="15" t="inlineStr">
        <is>
          <t>—</t>
        </is>
      </c>
      <c r="E5" s="15" t="inlineStr">
        <is>
          <t>any empty</t>
        </is>
      </c>
    </row>
    <row r="6" ht="15" customHeight="1" s="11">
      <c r="A6" s="15" t="inlineStr">
        <is>
          <t>cohort_size</t>
        </is>
      </c>
      <c r="B6" s="15" t="inlineStr">
        <is>
          <t>Cohort</t>
        </is>
      </c>
      <c r="C6" s="15" t="inlineStr">
        <is>
          <t>Number of patients</t>
        </is>
      </c>
      <c r="D6" s="15" t="inlineStr">
        <is>
          <t>—</t>
        </is>
      </c>
      <c r="E6" s="15" t="inlineStr">
        <is>
          <t>&lt; 1,000</t>
        </is>
      </c>
    </row>
    <row r="7" ht="15" customHeight="1" s="11">
      <c r="A7" s="15" t="inlineStr">
        <is>
          <t>duplicates</t>
        </is>
      </c>
      <c r="B7" s="15" t="inlineStr">
        <is>
          <t>Cohort</t>
        </is>
      </c>
      <c r="C7" s="15" t="inlineStr">
        <is>
          <t>Duplicate patients</t>
        </is>
      </c>
      <c r="D7" s="15" t="inlineStr">
        <is>
          <t>—</t>
        </is>
      </c>
      <c r="E7" s="15" t="inlineStr">
        <is>
          <t>&gt; 0</t>
        </is>
      </c>
    </row>
    <row r="8" ht="15" customHeight="1" s="11">
      <c r="A8" s="15" t="inlineStr">
        <is>
          <t>age_range</t>
        </is>
      </c>
      <c r="B8" s="15" t="inlineStr">
        <is>
          <t>Cohort</t>
        </is>
      </c>
      <c r="C8" s="15" t="inlineStr">
        <is>
          <t>Age at index outside 18–89</t>
        </is>
      </c>
      <c r="D8" s="15" t="inlineStr">
        <is>
          <t>—</t>
        </is>
      </c>
      <c r="E8" s="15" t="inlineStr">
        <is>
          <t>&gt; 0</t>
        </is>
      </c>
    </row>
    <row r="9" ht="15" customHeight="1" s="11">
      <c r="A9" s="15" t="inlineStr">
        <is>
          <t>followup_negative</t>
        </is>
      </c>
      <c r="B9" s="15" t="inlineStr">
        <is>
          <t>Temporal</t>
        </is>
      </c>
      <c r="C9" s="15" t="inlineStr">
        <is>
          <t>Negative follow-up time</t>
        </is>
      </c>
      <c r="D9" s="15" t="inlineStr">
        <is>
          <t>—</t>
        </is>
      </c>
      <c r="E9" s="15" t="inlineStr">
        <is>
          <t>&gt; 0</t>
        </is>
      </c>
    </row>
    <row r="10" ht="15" customHeight="1" s="11">
      <c r="A10" s="15" t="inlineStr">
        <is>
          <t>followup_5y</t>
        </is>
      </c>
      <c r="B10" s="15" t="inlineStr">
        <is>
          <t>Temporal</t>
        </is>
      </c>
      <c r="C10" s="15" t="inlineStr">
        <is>
          <t>Share with ≥5 years follow-up or death</t>
        </is>
      </c>
      <c r="D10" s="15" t="inlineStr">
        <is>
          <t>&lt; 30%</t>
        </is>
      </c>
      <c r="E10" s="15" t="inlineStr">
        <is>
          <t>—</t>
        </is>
      </c>
    </row>
    <row r="11" ht="15" customHeight="1" s="11">
      <c r="A11" s="15" t="inlineStr">
        <is>
          <t>events_after_death</t>
        </is>
      </c>
      <c r="B11" s="15" t="inlineStr">
        <is>
          <t>Temporal</t>
        </is>
      </c>
      <c r="C11" s="15" t="inlineStr">
        <is>
          <t>Candidate events more than 1 day after recorded death</t>
        </is>
      </c>
      <c r="D11" s="15" t="inlineStr">
        <is>
          <t>&gt; 0</t>
        </is>
      </c>
      <c r="E11" s="15" t="inlineStr">
        <is>
          <t>&gt; 0.5% of candidates</t>
        </is>
      </c>
    </row>
    <row r="12" ht="15" customHeight="1" s="11">
      <c r="A12" s="15" t="inlineStr">
        <is>
          <t>events_after_index</t>
        </is>
      </c>
      <c r="B12" s="15" t="inlineStr">
        <is>
          <t>Leakage</t>
        </is>
      </c>
      <c r="C12" s="15" t="inlineStr">
        <is>
          <t>Candidate events on or before the index date</t>
        </is>
      </c>
      <c r="D12" s="15" t="inlineStr">
        <is>
          <t>—</t>
        </is>
      </c>
      <c r="E12" s="15" t="inlineStr">
        <is>
          <t>&gt; 0</t>
        </is>
      </c>
    </row>
    <row r="13" ht="23.85" customHeight="1" s="11">
      <c r="A13" s="15" t="inlineStr">
        <is>
          <t>plausibility</t>
        </is>
      </c>
      <c r="B13" s="15" t="inlineStr">
        <is>
          <t>Data quality</t>
        </is>
      </c>
      <c r="C13" s="15" t="inlineStr">
        <is>
          <t>Share of values outside each input's clinical range (worst feature); cleared to missing in the release</t>
        </is>
      </c>
      <c r="D13" s="15" t="inlineStr">
        <is>
          <t>&gt; 0.1%</t>
        </is>
      </c>
      <c r="E13" s="15" t="inlineStr">
        <is>
          <t>&gt; 1%</t>
        </is>
      </c>
    </row>
    <row r="14" ht="15" customHeight="1" s="11">
      <c r="A14" s="15" t="inlineStr">
        <is>
          <t>units</t>
        </is>
      </c>
      <c r="B14" s="15" t="inlineStr">
        <is>
          <t>Data quality</t>
        </is>
      </c>
      <c r="C14" s="15" t="inlineStr">
        <is>
          <t>Values suggesting unconverted units (metres/inches, pounds, mmol/L, mmol/mol)</t>
        </is>
      </c>
      <c r="D14" s="15" t="inlineStr">
        <is>
          <t>&gt; 0.1%</t>
        </is>
      </c>
      <c r="E14" s="15" t="inlineStr">
        <is>
          <t>&gt; 1%</t>
        </is>
      </c>
    </row>
    <row r="15" ht="15" customHeight="1" s="11">
      <c r="A15" s="15" t="inlineStr">
        <is>
          <t>core_missing</t>
        </is>
      </c>
      <c r="B15" s="15" t="inlineStr">
        <is>
          <t>Missingness</t>
        </is>
      </c>
      <c r="C15" s="15" t="inlineStr">
        <is>
          <t>Age, sex, SBP, total cholesterol, HDL missing</t>
        </is>
      </c>
      <c r="D15" s="15" t="inlineStr">
        <is>
          <t>—</t>
        </is>
      </c>
      <c r="E15" s="15" t="inlineStr">
        <is>
          <t>&gt; 5% for any</t>
        </is>
      </c>
    </row>
    <row r="16" ht="15" customHeight="1" s="11">
      <c r="A16" s="15" t="inlineStr">
        <is>
          <t>missingness</t>
        </is>
      </c>
      <c r="B16" s="15" t="inlineStr">
        <is>
          <t>Missingness</t>
        </is>
      </c>
      <c r="C16" s="15" t="inlineStr">
        <is>
          <t>Other inputs with high missingness (CAC, LVEF, hs-CRP exempt)</t>
        </is>
      </c>
      <c r="D16" s="15" t="inlineStr">
        <is>
          <t>&gt; 60%</t>
        </is>
      </c>
      <c r="E16" s="15" t="inlineStr">
        <is>
          <t>—</t>
        </is>
      </c>
    </row>
    <row r="17" ht="15" customHeight="1" s="11">
      <c r="A17" s="15" t="inlineStr">
        <is>
          <t>missing_disparity</t>
        </is>
      </c>
      <c r="B17" s="15" t="inlineStr">
        <is>
          <t>Fairness</t>
        </is>
      </c>
      <c r="C17" s="15" t="inlineStr">
        <is>
          <t>Gap in missingness between sex or race groups (≥100 patients)</t>
        </is>
      </c>
      <c r="D17" s="15" t="inlineStr">
        <is>
          <t>&gt; 15% points</t>
        </is>
      </c>
      <c r="E17" s="15" t="inlineStr">
        <is>
          <t>—</t>
        </is>
      </c>
    </row>
    <row r="18" ht="15" customHeight="1" s="11">
      <c r="A18" s="15" t="inlineStr">
        <is>
          <t>representation</t>
        </is>
      </c>
      <c r="B18" s="15" t="inlineStr">
        <is>
          <t>Fairness</t>
        </is>
      </c>
      <c r="C18" s="15" t="inlineStr">
        <is>
          <t>Demographic subgroups below a minimum share of the cohort</t>
        </is>
      </c>
      <c r="D18" s="15" t="inlineStr">
        <is>
          <t>&lt; 1%</t>
        </is>
      </c>
      <c r="E18" s="15" t="inlineStr">
        <is>
          <t>—</t>
        </is>
      </c>
    </row>
    <row r="19" ht="15" customHeight="1" s="11">
      <c r="A19" s="15" t="inlineStr">
        <is>
          <t>uncertain_fraction</t>
        </is>
      </c>
      <c r="B19" s="15" t="inlineStr">
        <is>
          <t>Auto-labels</t>
        </is>
      </c>
      <c r="C19" s="15" t="inlineStr">
        <is>
          <t>Share of label-relevant candidates left uncertain, per outcome</t>
        </is>
      </c>
      <c r="D19" s="15" t="inlineStr">
        <is>
          <t>&gt; 40%</t>
        </is>
      </c>
      <c r="E19" s="15" t="inlineStr">
        <is>
          <t>—</t>
        </is>
      </c>
    </row>
    <row r="20" ht="15" customHeight="1" s="11">
      <c r="A20" s="15" t="inlineStr">
        <is>
          <t>lf_conflict</t>
        </is>
      </c>
      <c r="B20" s="15" t="inlineStr">
        <is>
          <t>Auto-labels</t>
        </is>
      </c>
      <c r="C20" s="15" t="inlineStr">
        <is>
          <t>Candidates where labelling functions vote both for and against</t>
        </is>
      </c>
      <c r="D20" s="15" t="inlineStr">
        <is>
          <t>&gt; 25%</t>
        </is>
      </c>
      <c r="E20" s="15" t="inlineStr">
        <is>
          <t>—</t>
        </is>
      </c>
    </row>
    <row r="21" ht="15" customHeight="1" s="11">
      <c r="A21" s="15" t="inlineStr">
        <is>
          <t>lf_coverage</t>
        </is>
      </c>
      <c r="B21" s="15" t="inlineStr">
        <is>
          <t>Auto-labels</t>
        </is>
      </c>
      <c r="C21" s="15" t="inlineStr">
        <is>
          <t>Labelling functions that never fire (missing evidence or codes)</t>
        </is>
      </c>
      <c r="D21" s="15" t="inlineStr">
        <is>
          <t>any</t>
        </is>
      </c>
      <c r="E21" s="15" t="inlineStr">
        <is>
          <t>—</t>
        </is>
      </c>
    </row>
    <row r="22" ht="23.85" customHeight="1" s="11">
      <c r="A22" s="15" t="inlineStr">
        <is>
          <t>prevalence</t>
        </is>
      </c>
      <c r="B22" s="15" t="inlineStr">
        <is>
          <t>Auto-labels</t>
        </is>
      </c>
      <c r="C22" s="15" t="inlineStr">
        <is>
          <t>5-year auto-confirmed incidence outside the expected range: ami 0.3%–8%; stroke 0.3%–8%; hf 0.5%–10%; scd 0.1%–2%; af 0.5%–12%</t>
        </is>
      </c>
      <c r="D22" s="15" t="inlineStr">
        <is>
          <t>outside range</t>
        </is>
      </c>
      <c r="E22" s="15" t="inlineStr">
        <is>
          <t>—</t>
        </is>
      </c>
    </row>
    <row r="23" ht="15" customHeight="1" s="11">
      <c r="A23" s="15" t="inlineStr">
        <is>
          <t>icd_drift</t>
        </is>
      </c>
      <c r="B23" s="15" t="inlineStr">
        <is>
          <t>Coding</t>
        </is>
      </c>
      <c r="C23" s="15" t="inlineStr">
        <is>
          <t>Candidate rate per 1,000 patient-years, ICD-10 era vs ICD-9 era (Oct 2015)</t>
        </is>
      </c>
      <c r="D23" s="15" t="inlineStr">
        <is>
          <t>ratio outside 0.67–1.5</t>
        </is>
      </c>
      <c r="E23" s="15" t="inlineStr">
        <is>
          <t>—</t>
        </is>
      </c>
    </row>
    <row r="24" ht="15" customHeight="1" s="11">
      <c r="A24" s="15" t="inlineStr">
        <is>
          <t>annotation_yield</t>
        </is>
      </c>
      <c r="B24" s="15" t="inlineStr">
        <is>
          <t>Annotation</t>
        </is>
      </c>
      <c r="C24" s="15" t="inlineStr">
        <is>
          <t>Reports mentioning LVEF/CAC where a value was extracted</t>
        </is>
      </c>
      <c r="D24" s="15" t="inlineStr">
        <is>
          <t>&lt; 90%</t>
        </is>
      </c>
      <c r="E24" s="15" t="inlineStr">
        <is>
          <t>—</t>
        </is>
      </c>
    </row>
  </sheetData>
  <autoFilter ref="A2:E24"/>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30" customWidth="1" style="10" min="1" max="1"/>
    <col width="60" customWidth="1" style="10" min="2" max="2"/>
    <col width="14" customWidth="1" style="10" min="3" max="3"/>
    <col width="20" customWidth="1" style="10" min="4" max="4"/>
  </cols>
  <sheetData>
    <row r="1" ht="30" customHeight="1" s="11">
      <c r="A1" s="20" t="inlineStr">
        <is>
          <t>Training on Mayo Clinic Platform data requires a release in which every gate passed or was waived.</t>
        </is>
      </c>
    </row>
    <row r="2" ht="15" customHeight="1" s="11">
      <c r="A2" s="14" t="inlineStr">
        <is>
          <t>Gate</t>
        </is>
      </c>
      <c r="B2" s="14" t="inlineStr">
        <is>
          <t>Requirement</t>
        </is>
      </c>
      <c r="C2" s="14" t="inlineStr">
        <is>
          <t>Scope</t>
        </is>
      </c>
      <c r="D2" s="14" t="inlineStr">
        <is>
          <t>Who may waive</t>
        </is>
      </c>
    </row>
    <row r="3" ht="15" customHeight="1" s="11">
      <c r="A3" s="15" t="inlineStr">
        <is>
          <t>Automatic audit resolved</t>
        </is>
      </c>
      <c r="B3" s="15" t="inlineStr">
        <is>
          <t>All warnings acknowledged, all failures waived (written reason) or fixed</t>
        </is>
      </c>
      <c r="C3" s="15" t="inlineStr">
        <is>
          <t>All</t>
        </is>
      </c>
      <c r="D3" s="15" t="inlineStr">
        <is>
          <t>Data scientist</t>
        </is>
      </c>
    </row>
    <row r="4" ht="15" customHeight="1" s="11">
      <c r="A4" s="15" t="inlineStr">
        <is>
          <t>Dataset approved</t>
        </is>
      </c>
      <c r="B4" s="15" t="inlineStr">
        <is>
          <t>Data scientist approval; creates the adjudication sample</t>
        </is>
      </c>
      <c r="C4" s="15" t="inlineStr">
        <is>
          <t>All</t>
        </is>
      </c>
      <c r="D4" s="15" t="inlineStr">
        <is>
          <t>—</t>
        </is>
      </c>
    </row>
    <row r="5" ht="15" customHeight="1" s="11">
      <c r="A5" s="15" t="inlineStr">
        <is>
          <t>All cases final</t>
        </is>
      </c>
      <c r="B5" s="15" t="inlineStr">
        <is>
          <t>No open reads or unresolved disagreements</t>
        </is>
      </c>
      <c r="C5" s="15" t="inlineStr">
        <is>
          <t>All</t>
        </is>
      </c>
      <c r="D5" s="15" t="inlineStr">
        <is>
          <t>—</t>
        </is>
      </c>
    </row>
    <row r="6" ht="15" customHeight="1" s="11">
      <c r="A6" s="15" t="inlineStr">
        <is>
          <t>Inter-reader agreement</t>
        </is>
      </c>
      <c r="B6" s="15" t="inlineStr">
        <is>
          <t>Cohen's κ ≥ 0.6 on ≥10 double reads</t>
        </is>
      </c>
      <c r="C6" s="15" t="inlineStr">
        <is>
          <t>Per outcome</t>
        </is>
      </c>
      <c r="D6" s="15" t="inlineStr">
        <is>
          <t>Lead cardiologist</t>
        </is>
      </c>
    </row>
    <row r="7" ht="15" customHeight="1" s="11">
      <c r="A7" s="15" t="inlineStr">
        <is>
          <t>PPV of auto-confirmed labels</t>
        </is>
      </c>
      <c r="B7" s="15" t="inlineStr">
        <is>
          <t>≥ 85% on 50 random cases</t>
        </is>
      </c>
      <c r="C7" s="15" t="inlineStr">
        <is>
          <t>Per outcome</t>
        </is>
      </c>
      <c r="D7" s="15" t="inlineStr">
        <is>
          <t>Lead cardiologist</t>
        </is>
      </c>
    </row>
    <row r="8" ht="15" customHeight="1" s="11">
      <c r="A8" s="15" t="inlineStr">
        <is>
          <t>NPV of auto-rejected labels</t>
        </is>
      </c>
      <c r="B8" s="15" t="inlineStr">
        <is>
          <t>≥ 85% on 50 random cases</t>
        </is>
      </c>
      <c r="C8" s="15" t="inlineStr">
        <is>
          <t>Per outcome</t>
        </is>
      </c>
      <c r="D8" s="15" t="inlineStr">
        <is>
          <t>Lead cardiologist</t>
        </is>
      </c>
    </row>
    <row r="9" ht="15" customHeight="1" s="11">
      <c r="A9" s="15" t="inlineStr">
        <is>
          <t>Indeterminate cases</t>
        </is>
      </c>
      <c r="B9" s="15" t="inlineStr">
        <is>
          <t>≤ 15% of final cases</t>
        </is>
      </c>
      <c r="C9" s="15" t="inlineStr">
        <is>
          <t>Per outcome</t>
        </is>
      </c>
      <c r="D9" s="15" t="inlineStr">
        <is>
          <t>Lead cardiologist</t>
        </is>
      </c>
    </row>
    <row r="10" ht="15" customHeight="1" s="11">
      <c r="A10" s="15" t="inlineStr">
        <is>
          <t>LVEF / CAC extraction accuracy</t>
        </is>
      </c>
      <c r="B10" s="15" t="inlineStr">
        <is>
          <t>≥ 90% (weighted)</t>
        </is>
      </c>
      <c r="C10" s="15" t="inlineStr">
        <is>
          <t>Per field</t>
        </is>
      </c>
      <c r="D10" s="15" t="inlineStr">
        <is>
          <t>Data scientist</t>
        </is>
      </c>
    </row>
    <row r="11" ht="15" customHeight="1" s="11">
      <c r="A11" s="15" t="inlineStr">
        <is>
          <t>Audit trail intact</t>
        </is>
      </c>
      <c r="B11" s="15" t="inlineStr">
        <is>
          <t>Hash chain verifies end to end</t>
        </is>
      </c>
      <c r="C11" s="15" t="inlineStr">
        <is>
          <t>All</t>
        </is>
      </c>
      <c r="D11" s="15" t="inlineStr">
        <is>
          <t>Cannot be waived</t>
        </is>
      </c>
    </row>
    <row r="12" ht="15" customHeight="1" s="11">
      <c r="A12" s="15" t="inlineStr">
        <is>
          <t>Release sign-offs</t>
        </is>
      </c>
      <c r="B12" s="15" t="inlineStr">
        <is>
          <t>Data scientist + lead cardiologist, two different people</t>
        </is>
      </c>
      <c r="C12" s="15" t="inlineStr">
        <is>
          <t>All</t>
        </is>
      </c>
      <c r="D12" s="15" t="inlineStr">
        <is>
          <t>Cannot be waived</t>
        </is>
      </c>
    </row>
  </sheetData>
  <autoFilter ref="A2:D12"/>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3" customWidth="1" style="10" min="1" max="1"/>
    <col width="18" customWidth="1" style="10" min="2" max="2"/>
    <col width="9" customWidth="1" style="10" min="3" max="3"/>
    <col width="12" customWidth="1" style="10" min="4" max="4"/>
    <col width="11" customWidth="1" style="10" min="5" max="6"/>
    <col width="9" customWidth="1" style="10" min="7" max="7"/>
    <col width="11" customWidth="1" style="10" min="8" max="8"/>
    <col width="12" customWidth="1" style="10" min="9" max="11"/>
    <col width="30" customWidth="1" style="10" min="12" max="12"/>
  </cols>
  <sheetData>
    <row r="1" ht="30" customHeight="1" s="11">
      <c r="A1" s="20" t="inlineStr">
        <is>
          <t>SYNTHETIC DATA WITH SIMULATED ADJUDICATION: pipeline test only, not evidence of clinical performance. Real figures come from VALIDATION_REPORT.md after training on the Mayo Clinic Platform release. 'Meets target' = CI lower bound ≥ target.</t>
        </is>
      </c>
    </row>
    <row r="2" ht="35.05" customHeight="1" s="11">
      <c r="A2" s="14" t="inlineStr">
        <is>
          <t>Calculator</t>
        </is>
      </c>
      <c r="B2" s="14" t="inlineStr">
        <is>
          <t>Endpoint</t>
        </is>
      </c>
      <c r="C2" s="14" t="inlineStr">
        <is>
          <t>Horizon</t>
        </is>
      </c>
      <c r="D2" s="14" t="inlineStr">
        <is>
          <t>Hold-out C-statistic</t>
        </is>
      </c>
      <c r="E2" s="14" t="inlineStr">
        <is>
          <t>95% CI low</t>
        </is>
      </c>
      <c r="F2" s="14" t="inlineStr">
        <is>
          <t>95% CI high</t>
        </is>
      </c>
      <c r="G2" s="14" t="inlineStr">
        <is>
          <t>Target</t>
        </is>
      </c>
      <c r="H2" s="14" t="inlineStr">
        <is>
          <t>Meets target</t>
        </is>
      </c>
      <c r="I2" s="14" t="inlineStr">
        <is>
          <t>Calibration slope</t>
        </is>
      </c>
      <c r="J2" s="14" t="inlineStr">
        <is>
          <t>Expected / observed</t>
        </is>
      </c>
      <c r="K2" s="14" t="inlineStr">
        <is>
          <t>Test patients</t>
        </is>
      </c>
      <c r="L2" s="14" t="inlineStr">
        <is>
          <t>Test events / note</t>
        </is>
      </c>
    </row>
    <row r="3" ht="15" customHeight="1" s="11">
      <c r="A3" s="15" t="inlineStr">
        <is>
          <t>AMI</t>
        </is>
      </c>
      <c r="B3" s="15" t="inlineStr">
        <is>
          <t>ami</t>
        </is>
      </c>
      <c r="C3" s="15" t="inlineStr">
        <is>
          <t>30d</t>
        </is>
      </c>
      <c r="D3" s="22" t="n">
        <v>0.737</v>
      </c>
      <c r="E3" s="22" t="n">
        <v>0.643</v>
      </c>
      <c r="F3" s="22" t="n">
        <v>0.839</v>
      </c>
      <c r="G3" s="22" t="n">
        <v>0.82</v>
      </c>
      <c r="H3" s="15">
        <f>IF(D3="","not trained",IF(E3&gt;=G3,"Yes","No"))</f>
        <v/>
      </c>
      <c r="I3" s="15" t="n">
        <v>0.98</v>
      </c>
      <c r="J3" s="15" t="n">
        <v>1</v>
      </c>
      <c r="K3" s="23" t="n">
        <v>12000</v>
      </c>
      <c r="L3" s="15" t="n">
        <v>26</v>
      </c>
    </row>
    <row r="4" ht="15" customHeight="1" s="11">
      <c r="A4" s="15" t="inlineStr">
        <is>
          <t>AMI</t>
        </is>
      </c>
      <c r="B4" s="15" t="inlineStr">
        <is>
          <t>ami</t>
        </is>
      </c>
      <c r="C4" s="15" t="inlineStr">
        <is>
          <t>1y</t>
        </is>
      </c>
      <c r="D4" s="22" t="n">
        <v>0.82</v>
      </c>
      <c r="E4" s="22" t="n">
        <v>0.789</v>
      </c>
      <c r="F4" s="22" t="n">
        <v>0.847</v>
      </c>
      <c r="G4" s="22" t="n">
        <v>0.82</v>
      </c>
      <c r="H4" s="15">
        <f>IF(D4="","not trained",IF(E4&gt;=G4,"Yes","No"))</f>
        <v/>
      </c>
      <c r="I4" s="15" t="n">
        <v>0.97</v>
      </c>
      <c r="J4" s="15" t="n">
        <v>1.04</v>
      </c>
      <c r="K4" s="23" t="n">
        <v>11351</v>
      </c>
      <c r="L4" s="15" t="n">
        <v>254</v>
      </c>
    </row>
    <row r="5" ht="15" customHeight="1" s="11">
      <c r="A5" s="15" t="inlineStr">
        <is>
          <t>AMI</t>
        </is>
      </c>
      <c r="B5" s="15" t="inlineStr">
        <is>
          <t>ami</t>
        </is>
      </c>
      <c r="C5" s="15" t="inlineStr">
        <is>
          <t>5y</t>
        </is>
      </c>
      <c r="D5" s="22" t="n">
        <v>0.8120000000000001</v>
      </c>
      <c r="E5" s="22" t="n">
        <v>0.794</v>
      </c>
      <c r="F5" s="22" t="n">
        <v>0.828</v>
      </c>
      <c r="G5" s="22" t="n">
        <v>0.82</v>
      </c>
      <c r="H5" s="15">
        <f>IF(D5="","not trained",IF(E5&gt;=G5,"Yes","No"))</f>
        <v/>
      </c>
      <c r="I5" s="15" t="n">
        <v>1.04</v>
      </c>
      <c r="J5" s="15" t="n">
        <v>1.06</v>
      </c>
      <c r="K5" s="23" t="n">
        <v>6928</v>
      </c>
      <c r="L5" s="15" t="n">
        <v>800</v>
      </c>
    </row>
    <row r="6" ht="15" customHeight="1" s="11">
      <c r="A6" s="15" t="inlineStr">
        <is>
          <t>Stroke</t>
        </is>
      </c>
      <c r="B6" s="15" t="inlineStr">
        <is>
          <t>any_stroke</t>
        </is>
      </c>
      <c r="C6" s="15" t="inlineStr">
        <is>
          <t>1y</t>
        </is>
      </c>
      <c r="D6" s="22" t="n">
        <v>0.751</v>
      </c>
      <c r="E6" s="22" t="n">
        <v>0.71</v>
      </c>
      <c r="F6" s="22" t="n">
        <v>0.796</v>
      </c>
      <c r="G6" s="22" t="n">
        <v>0.75</v>
      </c>
      <c r="H6" s="15">
        <f>IF(D6="","not trained",IF(E6&gt;=G6,"Yes","No"))</f>
        <v/>
      </c>
      <c r="I6" s="15" t="n">
        <v>0.89</v>
      </c>
      <c r="J6" s="15" t="n">
        <v>1.03</v>
      </c>
      <c r="K6" s="23" t="n">
        <v>11342</v>
      </c>
      <c r="L6" s="15" t="n">
        <v>144</v>
      </c>
    </row>
    <row r="7" ht="15" customHeight="1" s="11">
      <c r="A7" s="15" t="inlineStr">
        <is>
          <t>Stroke</t>
        </is>
      </c>
      <c r="B7" s="15" t="inlineStr">
        <is>
          <t>any_stroke</t>
        </is>
      </c>
      <c r="C7" s="15" t="inlineStr">
        <is>
          <t>5y</t>
        </is>
      </c>
      <c r="D7" s="22" t="n">
        <v>0.747</v>
      </c>
      <c r="E7" s="22" t="n">
        <v>0.727</v>
      </c>
      <c r="F7" s="22" t="n">
        <v>0.767</v>
      </c>
      <c r="G7" s="22" t="n">
        <v>0.75</v>
      </c>
      <c r="H7" s="15">
        <f>IF(D7="","not trained",IF(E7&gt;=G7,"Yes","No"))</f>
        <v/>
      </c>
      <c r="I7" s="15" t="n">
        <v>0.88</v>
      </c>
      <c r="J7" s="15" t="n">
        <v>1.01</v>
      </c>
      <c r="K7" s="23" t="n">
        <v>6815</v>
      </c>
      <c r="L7" s="15" t="n">
        <v>531</v>
      </c>
    </row>
    <row r="8" ht="15" customHeight="1" s="11">
      <c r="A8" s="15" t="inlineStr">
        <is>
          <t>Stroke</t>
        </is>
      </c>
      <c r="B8" s="15" t="inlineStr">
        <is>
          <t>ischemic_stroke</t>
        </is>
      </c>
      <c r="C8" s="15" t="inlineStr">
        <is>
          <t>1y</t>
        </is>
      </c>
      <c r="D8" s="22" t="n">
        <v>0.735</v>
      </c>
      <c r="E8" s="22" t="n">
        <v>0.697</v>
      </c>
      <c r="F8" s="22" t="n">
        <v>0.777</v>
      </c>
      <c r="G8" s="22" t="n">
        <v>0.75</v>
      </c>
      <c r="H8" s="15">
        <f>IF(D8="","not trained",IF(E8&gt;=G8,"Yes","No"))</f>
        <v/>
      </c>
      <c r="I8" s="15" t="n">
        <v>0.79</v>
      </c>
      <c r="J8" s="15" t="n">
        <v>1.02</v>
      </c>
      <c r="K8" s="23" t="n">
        <v>11341</v>
      </c>
      <c r="L8" s="15" t="n">
        <v>111</v>
      </c>
    </row>
    <row r="9" ht="15" customHeight="1" s="11">
      <c r="A9" s="15" t="inlineStr">
        <is>
          <t>Stroke</t>
        </is>
      </c>
      <c r="B9" s="15" t="inlineStr">
        <is>
          <t>ischemic_stroke</t>
        </is>
      </c>
      <c r="C9" s="15" t="inlineStr">
        <is>
          <t>5y</t>
        </is>
      </c>
      <c r="D9" s="22" t="n">
        <v>0.74</v>
      </c>
      <c r="E9" s="22" t="n">
        <v>0.72</v>
      </c>
      <c r="F9" s="22" t="n">
        <v>0.768</v>
      </c>
      <c r="G9" s="22" t="n">
        <v>0.75</v>
      </c>
      <c r="H9" s="15">
        <f>IF(D9="","not trained",IF(E9&gt;=G9,"Yes","No"))</f>
        <v/>
      </c>
      <c r="I9" s="15" t="n">
        <v>0.86</v>
      </c>
      <c r="J9" s="15" t="n">
        <v>0.98</v>
      </c>
      <c r="K9" s="23" t="n">
        <v>6775</v>
      </c>
      <c r="L9" s="15" t="n">
        <v>405</v>
      </c>
    </row>
    <row r="10" ht="15" customHeight="1" s="11">
      <c r="A10" s="15" t="inlineStr">
        <is>
          <t>Stroke</t>
        </is>
      </c>
      <c r="B10" s="15" t="inlineStr">
        <is>
          <t>hemorrhagic_stroke</t>
        </is>
      </c>
      <c r="C10" s="15" t="inlineStr">
        <is>
          <t>5y</t>
        </is>
      </c>
      <c r="D10" s="22" t="n">
        <v>0.696</v>
      </c>
      <c r="E10" s="22" t="n">
        <v>0.593</v>
      </c>
      <c r="F10" s="22" t="n">
        <v>0.779</v>
      </c>
      <c r="G10" s="22" t="n">
        <v>0.75</v>
      </c>
      <c r="H10" s="15">
        <f>IF(D10="","not trained",IF(E10&gt;=G10,"Yes","No"))</f>
        <v/>
      </c>
      <c r="I10" s="15" t="n">
        <v>0.99</v>
      </c>
      <c r="J10" s="15" t="n">
        <v>1.09</v>
      </c>
      <c r="K10" s="23" t="n">
        <v>6650</v>
      </c>
      <c r="L10" s="15" t="n">
        <v>28</v>
      </c>
    </row>
    <row r="11" ht="15" customHeight="1" s="11">
      <c r="A11" s="15" t="inlineStr">
        <is>
          <t>Stroke</t>
        </is>
      </c>
      <c r="B11" s="15" t="inlineStr">
        <is>
          <t>tia</t>
        </is>
      </c>
      <c r="C11" s="15" t="inlineStr">
        <is>
          <t>1y</t>
        </is>
      </c>
      <c r="D11" s="22" t="n">
        <v>0.735</v>
      </c>
      <c r="E11" s="22" t="n">
        <v>0.629</v>
      </c>
      <c r="F11" s="22" t="n">
        <v>0.858</v>
      </c>
      <c r="G11" s="22" t="n">
        <v>0.75</v>
      </c>
      <c r="H11" s="15">
        <f>IF(D11="","not trained",IF(E11&gt;=G11,"Yes","No"))</f>
        <v/>
      </c>
      <c r="I11" s="15" t="n">
        <v>1</v>
      </c>
      <c r="J11" s="15" t="n">
        <v>1.16</v>
      </c>
      <c r="K11" s="23" t="n">
        <v>11337</v>
      </c>
      <c r="L11" s="15" t="n">
        <v>24</v>
      </c>
    </row>
    <row r="12" ht="15" customHeight="1" s="11">
      <c r="A12" s="15" t="inlineStr">
        <is>
          <t>Stroke</t>
        </is>
      </c>
      <c r="B12" s="15" t="inlineStr">
        <is>
          <t>tia</t>
        </is>
      </c>
      <c r="C12" s="15" t="inlineStr">
        <is>
          <t>5y</t>
        </is>
      </c>
      <c r="D12" s="22" t="n">
        <v>0.6889999999999999</v>
      </c>
      <c r="E12" s="22" t="n">
        <v>0.637</v>
      </c>
      <c r="F12" s="22" t="n">
        <v>0.729</v>
      </c>
      <c r="G12" s="22" t="n">
        <v>0.75</v>
      </c>
      <c r="H12" s="15">
        <f>IF(D12="","not trained",IF(E12&gt;=G12,"Yes","No"))</f>
        <v/>
      </c>
      <c r="I12" s="15" t="n">
        <v>1.27</v>
      </c>
      <c r="J12" s="15" t="n">
        <v>1.1</v>
      </c>
      <c r="K12" s="23" t="n">
        <v>6676</v>
      </c>
      <c r="L12" s="15" t="n">
        <v>98</v>
      </c>
    </row>
    <row r="13" ht="15" customHeight="1" s="11">
      <c r="A13" s="15" t="inlineStr">
        <is>
          <t>Heart failure</t>
        </is>
      </c>
      <c r="B13" s="15" t="inlineStr">
        <is>
          <t>hf</t>
        </is>
      </c>
      <c r="C13" s="15" t="inlineStr">
        <is>
          <t>30d</t>
        </is>
      </c>
      <c r="D13" s="22" t="n">
        <v>0.919</v>
      </c>
      <c r="E13" s="22" t="n">
        <v>0.878</v>
      </c>
      <c r="F13" s="22" t="n">
        <v>0.954</v>
      </c>
      <c r="G13" s="22" t="n">
        <v>0.8</v>
      </c>
      <c r="H13" s="15">
        <f>IF(D13="","not trained",IF(E13&gt;=G13,"Yes","No"))</f>
        <v/>
      </c>
      <c r="I13" s="15" t="n">
        <v>1.18</v>
      </c>
      <c r="J13" s="15" t="n">
        <v>0.8</v>
      </c>
      <c r="K13" s="23" t="n">
        <v>12000</v>
      </c>
      <c r="L13" s="15" t="n">
        <v>34</v>
      </c>
    </row>
    <row r="14" ht="15" customHeight="1" s="11">
      <c r="A14" s="15" t="inlineStr">
        <is>
          <t>Heart failure</t>
        </is>
      </c>
      <c r="B14" s="15" t="inlineStr">
        <is>
          <t>hf</t>
        </is>
      </c>
      <c r="C14" s="15" t="inlineStr">
        <is>
          <t>1y</t>
        </is>
      </c>
      <c r="D14" s="22" t="n">
        <v>0.876</v>
      </c>
      <c r="E14" s="22" t="n">
        <v>0.857</v>
      </c>
      <c r="F14" s="22" t="n">
        <v>0.894</v>
      </c>
      <c r="G14" s="22" t="n">
        <v>0.8</v>
      </c>
      <c r="H14" s="15">
        <f>IF(D14="","not trained",IF(E14&gt;=G14,"Yes","No"))</f>
        <v/>
      </c>
      <c r="I14" s="15" t="n">
        <v>1.02</v>
      </c>
      <c r="J14" s="15" t="n">
        <v>0.96</v>
      </c>
      <c r="K14" s="23" t="n">
        <v>11347</v>
      </c>
      <c r="L14" s="15" t="n">
        <v>313</v>
      </c>
    </row>
    <row r="15" ht="15" customHeight="1" s="11">
      <c r="A15" s="15" t="inlineStr">
        <is>
          <t>Heart failure</t>
        </is>
      </c>
      <c r="B15" s="15" t="inlineStr">
        <is>
          <t>hf</t>
        </is>
      </c>
      <c r="C15" s="15" t="inlineStr">
        <is>
          <t>5y</t>
        </is>
      </c>
      <c r="D15" s="22" t="n">
        <v>0.845</v>
      </c>
      <c r="E15" s="22" t="n">
        <v>0.828</v>
      </c>
      <c r="F15" s="22" t="n">
        <v>0.859</v>
      </c>
      <c r="G15" s="22" t="n">
        <v>0.8</v>
      </c>
      <c r="H15" s="15">
        <f>IF(D15="","not trained",IF(E15&gt;=G15,"Yes","No"))</f>
        <v/>
      </c>
      <c r="I15" s="15" t="n">
        <v>0.98</v>
      </c>
      <c r="J15" s="15" t="n">
        <v>0.99</v>
      </c>
      <c r="K15" s="23" t="n">
        <v>6903</v>
      </c>
      <c r="L15" s="15" t="n">
        <v>843</v>
      </c>
    </row>
    <row r="16" ht="15" customHeight="1" s="11">
      <c r="A16" s="15" t="inlineStr">
        <is>
          <t>Heart failure</t>
        </is>
      </c>
      <c r="B16" s="15" t="inlineStr">
        <is>
          <t>hfref</t>
        </is>
      </c>
      <c r="C16" s="15" t="inlineStr">
        <is>
          <t>30d</t>
        </is>
      </c>
      <c r="D16" s="22" t="n">
        <v>0.894</v>
      </c>
      <c r="E16" s="22" t="n">
        <v>0.821</v>
      </c>
      <c r="F16" s="22" t="n">
        <v>0.959</v>
      </c>
      <c r="G16" s="22" t="n">
        <v>0.8</v>
      </c>
      <c r="H16" s="15">
        <f>IF(D16="","not trained",IF(E16&gt;=G16,"Yes","No"))</f>
        <v/>
      </c>
      <c r="I16" s="15" t="n">
        <v>1.13</v>
      </c>
      <c r="J16" s="15" t="n">
        <v>0.72</v>
      </c>
      <c r="K16" s="23" t="n">
        <v>11998</v>
      </c>
      <c r="L16" s="15" t="n">
        <v>23</v>
      </c>
    </row>
    <row r="17" ht="15" customHeight="1" s="11">
      <c r="A17" s="15" t="inlineStr">
        <is>
          <t>Heart failure</t>
        </is>
      </c>
      <c r="B17" s="15" t="inlineStr">
        <is>
          <t>hfref</t>
        </is>
      </c>
      <c r="C17" s="15" t="inlineStr">
        <is>
          <t>1y</t>
        </is>
      </c>
      <c r="D17" s="22" t="n">
        <v>0.903</v>
      </c>
      <c r="E17" s="22" t="n">
        <v>0.879</v>
      </c>
      <c r="F17" s="22" t="n">
        <v>0.924</v>
      </c>
      <c r="G17" s="22" t="n">
        <v>0.8</v>
      </c>
      <c r="H17" s="15">
        <f>IF(D17="","not trained",IF(E17&gt;=G17,"Yes","No"))</f>
        <v/>
      </c>
      <c r="I17" s="15" t="n">
        <v>1.1</v>
      </c>
      <c r="J17" s="15" t="n">
        <v>0.97</v>
      </c>
      <c r="K17" s="23" t="n">
        <v>11327</v>
      </c>
      <c r="L17" s="15" t="n">
        <v>177</v>
      </c>
    </row>
    <row r="18" ht="15" customHeight="1" s="11">
      <c r="A18" s="15" t="inlineStr">
        <is>
          <t>Heart failure</t>
        </is>
      </c>
      <c r="B18" s="15" t="inlineStr">
        <is>
          <t>hfref</t>
        </is>
      </c>
      <c r="C18" s="15" t="inlineStr">
        <is>
          <t>5y</t>
        </is>
      </c>
      <c r="D18" s="22" t="n">
        <v>0.863</v>
      </c>
      <c r="E18" s="22" t="n">
        <v>0.844</v>
      </c>
      <c r="F18" s="22" t="n">
        <v>0.882</v>
      </c>
      <c r="G18" s="22" t="n">
        <v>0.8</v>
      </c>
      <c r="H18" s="15">
        <f>IF(D18="","not trained",IF(E18&gt;=G18,"Yes","No"))</f>
        <v/>
      </c>
      <c r="I18" s="15" t="n">
        <v>1</v>
      </c>
      <c r="J18" s="15" t="n">
        <v>0.98</v>
      </c>
      <c r="K18" s="23" t="n">
        <v>6760</v>
      </c>
      <c r="L18" s="15" t="n">
        <v>455</v>
      </c>
    </row>
    <row r="19" ht="15" customHeight="1" s="11">
      <c r="A19" s="15" t="inlineStr">
        <is>
          <t>Heart failure</t>
        </is>
      </c>
      <c r="B19" s="15" t="inlineStr">
        <is>
          <t>hfpef</t>
        </is>
      </c>
      <c r="C19" s="15" t="inlineStr">
        <is>
          <t>1y</t>
        </is>
      </c>
      <c r="D19" s="22" t="n">
        <v>0.793</v>
      </c>
      <c r="E19" s="22" t="n">
        <v>0.744</v>
      </c>
      <c r="F19" s="22" t="n">
        <v>0.834</v>
      </c>
      <c r="G19" s="22" t="n">
        <v>0.8</v>
      </c>
      <c r="H19" s="15">
        <f>IF(D19="","not trained",IF(E19&gt;=G19,"Yes","No"))</f>
        <v/>
      </c>
      <c r="I19" s="15" t="n">
        <v>1.09</v>
      </c>
      <c r="J19" s="15" t="n">
        <v>0.97</v>
      </c>
      <c r="K19" s="23" t="n">
        <v>11325</v>
      </c>
      <c r="L19" s="15" t="n">
        <v>91</v>
      </c>
    </row>
    <row r="20" ht="15" customHeight="1" s="11">
      <c r="A20" s="15" t="inlineStr">
        <is>
          <t>Heart failure</t>
        </is>
      </c>
      <c r="B20" s="15" t="inlineStr">
        <is>
          <t>hfpef</t>
        </is>
      </c>
      <c r="C20" s="15" t="inlineStr">
        <is>
          <t>5y</t>
        </is>
      </c>
      <c r="D20" s="22" t="n">
        <v>0.777</v>
      </c>
      <c r="E20" s="22" t="n">
        <v>0.751</v>
      </c>
      <c r="F20" s="22" t="n">
        <v>0.805</v>
      </c>
      <c r="G20" s="22" t="n">
        <v>0.8</v>
      </c>
      <c r="H20" s="15">
        <f>IF(D20="","not trained",IF(E20&gt;=G20,"Yes","No"))</f>
        <v/>
      </c>
      <c r="I20" s="15" t="n">
        <v>0.97</v>
      </c>
      <c r="J20" s="15" t="n">
        <v>0.98</v>
      </c>
      <c r="K20" s="23" t="n">
        <v>6703</v>
      </c>
      <c r="L20" s="15" t="n">
        <v>289</v>
      </c>
    </row>
    <row r="21" ht="15" customHeight="1" s="11">
      <c r="A21" s="15" t="inlineStr">
        <is>
          <t>SCD</t>
        </is>
      </c>
      <c r="B21" s="15" t="inlineStr">
        <is>
          <t>scd</t>
        </is>
      </c>
      <c r="C21" s="15" t="inlineStr">
        <is>
          <t>1y</t>
        </is>
      </c>
      <c r="D21" s="22" t="n">
        <v>0.841</v>
      </c>
      <c r="E21" s="22" t="n">
        <v>0.774</v>
      </c>
      <c r="F21" s="22" t="n">
        <v>0.889</v>
      </c>
      <c r="G21" s="22" t="n">
        <v>0.78</v>
      </c>
      <c r="H21" s="15">
        <f>IF(D21="","not trained",IF(E21&gt;=G21,"Yes","No"))</f>
        <v/>
      </c>
      <c r="I21" s="15" t="n">
        <v>1.15</v>
      </c>
      <c r="J21" s="15" t="n">
        <v>0.99</v>
      </c>
      <c r="K21" s="23" t="n">
        <v>11345</v>
      </c>
      <c r="L21" s="15" t="n">
        <v>46</v>
      </c>
    </row>
    <row r="22" ht="15" customHeight="1" s="11">
      <c r="A22" s="15" t="inlineStr">
        <is>
          <t>SCD</t>
        </is>
      </c>
      <c r="B22" s="15" t="inlineStr">
        <is>
          <t>scd</t>
        </is>
      </c>
      <c r="C22" s="15" t="inlineStr">
        <is>
          <t>5y</t>
        </is>
      </c>
      <c r="D22" s="22" t="n">
        <v>0.782</v>
      </c>
      <c r="E22" s="22" t="n">
        <v>0.745</v>
      </c>
      <c r="F22" s="22" t="n">
        <v>0.824</v>
      </c>
      <c r="G22" s="22" t="n">
        <v>0.78</v>
      </c>
      <c r="H22" s="15">
        <f>IF(D22="","not trained",IF(E22&gt;=G22,"Yes","No"))</f>
        <v/>
      </c>
      <c r="I22" s="15" t="n">
        <v>0.96</v>
      </c>
      <c r="J22" s="15" t="n">
        <v>1.02</v>
      </c>
      <c r="K22" s="23" t="n">
        <v>6708</v>
      </c>
      <c r="L22" s="15" t="n">
        <v>150</v>
      </c>
    </row>
    <row r="23" ht="15" customHeight="1" s="11">
      <c r="A23" s="15" t="inlineStr">
        <is>
          <t>AF</t>
        </is>
      </c>
      <c r="B23" s="15" t="inlineStr">
        <is>
          <t>af</t>
        </is>
      </c>
      <c r="C23" s="15" t="inlineStr">
        <is>
          <t>30d</t>
        </is>
      </c>
      <c r="D23" s="22" t="n">
        <v>0.757</v>
      </c>
      <c r="E23" s="22" t="n">
        <v>0.628</v>
      </c>
      <c r="F23" s="22" t="n">
        <v>0.877</v>
      </c>
      <c r="G23" s="22" t="n">
        <v>0.8</v>
      </c>
      <c r="H23" s="15">
        <f>IF(D23="","not trained",IF(E23&gt;=G23,"Yes","No"))</f>
        <v/>
      </c>
      <c r="I23" s="15" t="n">
        <v>1.03</v>
      </c>
      <c r="J23" s="15" t="n">
        <v>1.34</v>
      </c>
      <c r="K23" s="23" t="n">
        <v>11567</v>
      </c>
      <c r="L23" s="15" t="n">
        <v>20</v>
      </c>
    </row>
    <row r="24" ht="15" customHeight="1" s="11">
      <c r="A24" s="15" t="inlineStr">
        <is>
          <t>AF</t>
        </is>
      </c>
      <c r="B24" s="15" t="inlineStr">
        <is>
          <t>af</t>
        </is>
      </c>
      <c r="C24" s="15" t="inlineStr">
        <is>
          <t>1y</t>
        </is>
      </c>
      <c r="D24" s="22" t="n">
        <v>0.8149999999999999</v>
      </c>
      <c r="E24" s="22" t="n">
        <v>0.789</v>
      </c>
      <c r="F24" s="22" t="n">
        <v>0.837</v>
      </c>
      <c r="G24" s="22" t="n">
        <v>0.8</v>
      </c>
      <c r="H24" s="15">
        <f>IF(D24="","not trained",IF(E24&gt;=G24,"Yes","No"))</f>
        <v/>
      </c>
      <c r="I24" s="15" t="n">
        <v>1.07</v>
      </c>
      <c r="J24" s="15" t="n">
        <v>0.99</v>
      </c>
      <c r="K24" s="23" t="n">
        <v>10925</v>
      </c>
      <c r="L24" s="15" t="n">
        <v>297</v>
      </c>
    </row>
    <row r="25" ht="15" customHeight="1" s="11">
      <c r="A25" s="15" t="inlineStr">
        <is>
          <t>AF</t>
        </is>
      </c>
      <c r="B25" s="15" t="inlineStr">
        <is>
          <t>af</t>
        </is>
      </c>
      <c r="C25" s="15" t="inlineStr">
        <is>
          <t>5y</t>
        </is>
      </c>
      <c r="D25" s="22" t="n">
        <v>0.801</v>
      </c>
      <c r="E25" s="22" t="n">
        <v>0.79</v>
      </c>
      <c r="F25" s="22" t="n">
        <v>0.8169999999999999</v>
      </c>
      <c r="G25" s="22" t="n">
        <v>0.8</v>
      </c>
      <c r="H25" s="15">
        <f>IF(D25="","not trained",IF(E25&gt;=G25,"Yes","No"))</f>
        <v/>
      </c>
      <c r="I25" s="15" t="n">
        <v>1.02</v>
      </c>
      <c r="J25" s="15" t="n">
        <v>0.98</v>
      </c>
      <c r="K25" s="23" t="n">
        <v>6677</v>
      </c>
      <c r="L25" s="15" t="n">
        <v>959</v>
      </c>
    </row>
    <row r="26" ht="23.85" customHeight="1" s="11">
      <c r="A26" s="15" t="inlineStr">
        <is>
          <t>Stroke</t>
        </is>
      </c>
      <c r="B26" s="15" t="inlineStr">
        <is>
          <t>any_stroke</t>
        </is>
      </c>
      <c r="C26" s="15" t="inlineStr">
        <is>
          <t>30d</t>
        </is>
      </c>
      <c r="D26" s="22" t="n"/>
      <c r="E26" s="22" t="n"/>
      <c r="F26" s="22" t="n"/>
      <c r="G26" s="22" t="n">
        <v>0.75</v>
      </c>
      <c r="H26" s="15">
        <f>IF(D26="","not trained",IF(E26&gt;=G26,"Yes","No"))</f>
        <v/>
      </c>
      <c r="I26" s="15" t="n"/>
      <c r="J26" s="15" t="n"/>
      <c r="K26" s="23" t="n"/>
      <c r="L26" s="15" t="inlineStr">
        <is>
          <t>insufficient events (train 52, test &lt;11)</t>
        </is>
      </c>
    </row>
    <row r="27" ht="23.85" customHeight="1" s="11">
      <c r="A27" s="15" t="inlineStr">
        <is>
          <t>Stroke</t>
        </is>
      </c>
      <c r="B27" s="15" t="inlineStr">
        <is>
          <t>ischemic_stroke</t>
        </is>
      </c>
      <c r="C27" s="15" t="inlineStr">
        <is>
          <t>30d</t>
        </is>
      </c>
      <c r="D27" s="22" t="n"/>
      <c r="E27" s="22" t="n"/>
      <c r="F27" s="22" t="n"/>
      <c r="G27" s="22" t="n">
        <v>0.75</v>
      </c>
      <c r="H27" s="15">
        <f>IF(D27="","not trained",IF(E27&gt;=G27,"Yes","No"))</f>
        <v/>
      </c>
      <c r="I27" s="15" t="n"/>
      <c r="J27" s="15" t="n"/>
      <c r="K27" s="23" t="n"/>
      <c r="L27" s="15" t="inlineStr">
        <is>
          <t>insufficient events (train 41, test &lt;11)</t>
        </is>
      </c>
    </row>
    <row r="28" ht="23.85" customHeight="1" s="11">
      <c r="A28" s="15" t="inlineStr">
        <is>
          <t>Stroke</t>
        </is>
      </c>
      <c r="B28" s="15" t="inlineStr">
        <is>
          <t>hemorrhagic_stroke</t>
        </is>
      </c>
      <c r="C28" s="15" t="inlineStr">
        <is>
          <t>30d</t>
        </is>
      </c>
      <c r="D28" s="22" t="n"/>
      <c r="E28" s="22" t="n"/>
      <c r="F28" s="22" t="n"/>
      <c r="G28" s="22" t="n">
        <v>0.75</v>
      </c>
      <c r="H28" s="15">
        <f>IF(D28="","not trained",IF(E28&gt;=G28,"Yes","No"))</f>
        <v/>
      </c>
      <c r="I28" s="15" t="n"/>
      <c r="J28" s="15" t="n"/>
      <c r="K28" s="23" t="n"/>
      <c r="L28" s="15" t="inlineStr">
        <is>
          <t>insufficient events (train &lt;11, test &lt;11)</t>
        </is>
      </c>
    </row>
    <row r="29" ht="23.85" customHeight="1" s="11">
      <c r="A29" s="15" t="inlineStr">
        <is>
          <t>Stroke</t>
        </is>
      </c>
      <c r="B29" s="15" t="inlineStr">
        <is>
          <t>hemorrhagic_stroke</t>
        </is>
      </c>
      <c r="C29" s="15" t="inlineStr">
        <is>
          <t>1y</t>
        </is>
      </c>
      <c r="D29" s="22" t="n"/>
      <c r="E29" s="22" t="n"/>
      <c r="F29" s="22" t="n"/>
      <c r="G29" s="22" t="n">
        <v>0.75</v>
      </c>
      <c r="H29" s="15">
        <f>IF(D29="","not trained",IF(E29&gt;=G29,"Yes","No"))</f>
        <v/>
      </c>
      <c r="I29" s="15" t="n"/>
      <c r="J29" s="15" t="n"/>
      <c r="K29" s="23" t="n"/>
      <c r="L29" s="15" t="inlineStr">
        <is>
          <t>insufficient events (train 28, test &lt;11)</t>
        </is>
      </c>
    </row>
    <row r="30" ht="23.85" customHeight="1" s="11">
      <c r="A30" s="15" t="inlineStr">
        <is>
          <t>Stroke</t>
        </is>
      </c>
      <c r="B30" s="15" t="inlineStr">
        <is>
          <t>tia</t>
        </is>
      </c>
      <c r="C30" s="15" t="inlineStr">
        <is>
          <t>30d</t>
        </is>
      </c>
      <c r="D30" s="22" t="n"/>
      <c r="E30" s="22" t="n"/>
      <c r="F30" s="22" t="n"/>
      <c r="G30" s="22" t="n">
        <v>0.75</v>
      </c>
      <c r="H30" s="15">
        <f>IF(D30="","not trained",IF(E30&gt;=G30,"Yes","No"))</f>
        <v/>
      </c>
      <c r="I30" s="15" t="n"/>
      <c r="J30" s="15" t="n"/>
      <c r="K30" s="23" t="n"/>
      <c r="L30" s="15" t="inlineStr">
        <is>
          <t>insufficient events (train &lt;11, test &lt;11)</t>
        </is>
      </c>
    </row>
    <row r="31" ht="23.85" customHeight="1" s="11">
      <c r="A31" s="15" t="inlineStr">
        <is>
          <t>Heart failure</t>
        </is>
      </c>
      <c r="B31" s="15" t="inlineStr">
        <is>
          <t>hfpef</t>
        </is>
      </c>
      <c r="C31" s="15" t="inlineStr">
        <is>
          <t>30d</t>
        </is>
      </c>
      <c r="D31" s="22" t="n"/>
      <c r="E31" s="22" t="n"/>
      <c r="F31" s="22" t="n"/>
      <c r="G31" s="22" t="n">
        <v>0.8</v>
      </c>
      <c r="H31" s="15">
        <f>IF(D31="","not trained",IF(E31&gt;=G31,"Yes","No"))</f>
        <v/>
      </c>
      <c r="I31" s="15" t="n"/>
      <c r="J31" s="15" t="n"/>
      <c r="K31" s="23" t="n"/>
      <c r="L31" s="15" t="inlineStr">
        <is>
          <t>insufficient events (train 27, test &lt;11)</t>
        </is>
      </c>
    </row>
    <row r="32" ht="23.85" customHeight="1" s="11">
      <c r="A32" s="15" t="inlineStr">
        <is>
          <t>SCD</t>
        </is>
      </c>
      <c r="B32" s="15" t="inlineStr">
        <is>
          <t>scd</t>
        </is>
      </c>
      <c r="C32" s="15" t="inlineStr">
        <is>
          <t>30d</t>
        </is>
      </c>
      <c r="D32" s="22" t="n"/>
      <c r="E32" s="22" t="n"/>
      <c r="F32" s="22" t="n"/>
      <c r="G32" s="22" t="n">
        <v>0.78</v>
      </c>
      <c r="H32" s="15">
        <f>IF(D32="","not trained",IF(E32&gt;=G32,"Yes","No"))</f>
        <v/>
      </c>
      <c r="I32" s="15" t="n"/>
      <c r="J32" s="15" t="n"/>
      <c r="K32" s="23" t="n"/>
      <c r="L32" s="15" t="inlineStr">
        <is>
          <t>insufficient events (train 14, test &lt;11)</t>
        </is>
      </c>
    </row>
  </sheetData>
  <autoFilter ref="A2:L32"/>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2026-10-19T15:55:20Z</dcterms:created>
  <dcterms:modified xmlns:dcterms="http://purl.org/dc/terms/" xmlns:xsi="http://www.w3.org/2001/XMLSchema-instance" xsi:type="dcterms:W3CDTF">2026-10-21T17:08:53Z</dcterms:modified>
  <cp:revision>0</cp:revision>
</cp:coreProperties>
</file>