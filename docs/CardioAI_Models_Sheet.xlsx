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verview" sheetId="1" state="visible" r:id="rId1"/>
    <sheet xmlns:r="http://schemas.openxmlformats.org/officeDocument/2006/relationships" name="Eligibility" sheetId="2" state="visible" r:id="rId2"/>
    <sheet xmlns:r="http://schemas.openxmlformats.org/officeDocument/2006/relationships" name="MCP open items" sheetId="3" state="visible" r:id="rId3"/>
    <sheet xmlns:r="http://schemas.openxmlformats.org/officeDocument/2006/relationships" name="Endpoints" sheetId="4" state="visible" r:id="rId4"/>
    <sheet xmlns:r="http://schemas.openxmlformats.org/officeDocument/2006/relationships" name="Candidate codes" sheetId="5" state="visible" r:id="rId5"/>
    <sheet xmlns:r="http://schemas.openxmlformats.org/officeDocument/2006/relationships" name="Inputs" sheetId="6" state="visible" r:id="rId6"/>
    <sheet xmlns:r="http://schemas.openxmlformats.org/officeDocument/2006/relationships" name="Outputs" sheetId="7" state="visible" r:id="rId7"/>
    <sheet xmlns:r="http://schemas.openxmlformats.org/officeDocument/2006/relationships" name="Auto-labelling" sheetId="8" state="visible" r:id="rId8"/>
    <sheet xmlns:r="http://schemas.openxmlformats.org/officeDocument/2006/relationships" name="Annotation" sheetId="9" state="visible" r:id="rId9"/>
    <sheet xmlns:r="http://schemas.openxmlformats.org/officeDocument/2006/relationships" name="Automatic audit" sheetId="10" state="visible" r:id="rId10"/>
    <sheet xmlns:r="http://schemas.openxmlformats.org/officeDocument/2006/relationships" name="Release gates" sheetId="11" state="visible" r:id="rId11"/>
    <sheet xmlns:r="http://schemas.openxmlformats.org/officeDocument/2006/relationships" name="Demo validation" sheetId="12" state="visible" r:id="rId12"/>
  </sheets>
  <definedNames>
    <definedName name="_xlnm._FilterDatabase" localSheetId="3" hidden="1">'Endpoints'!$A$2:$I$12</definedName>
    <definedName name="_xlnm._FilterDatabase" localSheetId="4" hidden="1">'Candidate codes'!$A$2:$H$336</definedName>
    <definedName name="_xlnm._FilterDatabase" localSheetId="5" hidden="1">'Inputs'!$A$2:$N$35</definedName>
    <definedName name="_xlnm._FilterDatabase" localSheetId="6" hidden="1">'Outputs'!$A$2:$E$43</definedName>
    <definedName name="_xlnm._FilterDatabase" localSheetId="7" hidden="1">'Auto-labelling'!$A$2:$F$42</definedName>
    <definedName name="_xlnm._FilterDatabase" localSheetId="8" hidden="1">'Annotation'!$A$2:$D$17</definedName>
    <definedName name="_xlnm._FilterDatabase" localSheetId="9" hidden="1">'Automatic audit'!$A$2:$E$24</definedName>
    <definedName name="_xlnm._FilterDatabase" localSheetId="10" hidden="1">'Release gates'!$A$2:$D$12</definedName>
    <definedName name="_xlnm._FilterDatabase" localSheetId="11" hidden="1">'Demo validation'!$A$2:$L$32</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0.000"/>
  </numFmts>
  <fonts count="8">
    <font>
      <name val="Calibri"/>
      <charset val="1"/>
      <family val="2"/>
      <color theme="1"/>
      <sz val="11"/>
    </font>
    <font>
      <name val="Arial"/>
      <family val="0"/>
      <sz val="10"/>
    </font>
    <font>
      <name val="Arial"/>
      <family val="0"/>
      <sz val="10"/>
    </font>
    <font>
      <name val="Arial"/>
      <family val="0"/>
      <sz val="10"/>
    </font>
    <font>
      <name val="Arial"/>
      <charset val="1"/>
      <family val="0"/>
      <b val="1"/>
      <color rgb="FF1F3A5F"/>
      <sz val="14"/>
    </font>
    <font>
      <name val="Arial"/>
      <charset val="1"/>
      <family val="0"/>
      <i val="1"/>
      <color rgb="FF44546A"/>
      <sz val="10"/>
    </font>
    <font>
      <name val="Arial"/>
      <charset val="1"/>
      <family val="0"/>
      <b val="1"/>
      <color rgb="FFFFFFFF"/>
      <sz val="10"/>
    </font>
    <font>
      <name val="Arial"/>
      <charset val="1"/>
      <family val="0"/>
      <sz val="10"/>
    </font>
  </fonts>
  <fills count="4">
    <fill>
      <patternFill/>
    </fill>
    <fill>
      <patternFill patternType="gray125"/>
    </fill>
    <fill>
      <patternFill patternType="solid">
        <fgColor rgb="FF1F3A5F"/>
        <bgColor rgb="FF333333"/>
      </patternFill>
    </fill>
    <fill>
      <patternFill patternType="solid">
        <fgColor rgb="00F2F2F2"/>
      </patternFill>
    </fill>
  </fills>
  <borders count="3">
    <border>
      <left/>
      <right/>
      <top/>
      <bottom/>
      <diagonal/>
    </border>
    <border>
      <left/>
      <right/>
      <top/>
      <bottom style="thin">
        <color rgb="FFC9D3DE"/>
      </bottom>
      <diagonal/>
    </border>
    <border>
      <bottom style="thin">
        <color rgb="00D9DEE5"/>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8">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center" wrapText="1"/>
    </xf>
    <xf numFmtId="0" fontId="7" fillId="0" borderId="1" applyAlignment="1" pivotButton="0" quotePrefix="0" xfId="0">
      <alignment horizontal="general" vertical="top" wrapText="1"/>
    </xf>
    <xf numFmtId="2" fontId="7" fillId="0" borderId="1" applyAlignment="1" pivotButton="0" quotePrefix="0" xfId="0">
      <alignment horizontal="general" vertical="top" wrapText="1"/>
    </xf>
    <xf numFmtId="0" fontId="5" fillId="0" borderId="0" applyAlignment="1" pivotButton="0" quotePrefix="0" xfId="0">
      <alignment horizontal="general" vertical="top" wrapText="1"/>
    </xf>
    <xf numFmtId="164" fontId="7" fillId="0" borderId="1" applyAlignment="1" pivotButton="0" quotePrefix="0" xfId="0">
      <alignment horizontal="general" vertical="top" wrapText="1"/>
    </xf>
    <xf numFmtId="165" fontId="7" fillId="0" borderId="1" applyAlignment="1" pivotButton="0" quotePrefix="0" xfId="0">
      <alignment horizontal="general" vertical="top" wrapText="1"/>
    </xf>
    <xf numFmtId="3" fontId="7"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center" wrapText="1"/>
    </xf>
    <xf numFmtId="0" fontId="7" fillId="0" borderId="1" applyAlignment="1" pivotButton="0" quotePrefix="0" xfId="0">
      <alignment horizontal="general" vertical="top" wrapText="1"/>
    </xf>
    <xf numFmtId="2" fontId="7" fillId="0" borderId="1" applyAlignment="1" pivotButton="0" quotePrefix="0" xfId="0">
      <alignment horizontal="general" vertical="top" wrapText="1"/>
    </xf>
    <xf numFmtId="0" fontId="5" fillId="0" borderId="0" pivotButton="0" quotePrefix="0" xfId="0"/>
    <xf numFmtId="0" fontId="6" fillId="2" borderId="0" applyAlignment="1" pivotButton="0" quotePrefix="0" xfId="0">
      <alignment vertical="center" wrapText="1"/>
    </xf>
    <xf numFmtId="0" fontId="0" fillId="0" borderId="2" applyAlignment="1" pivotButton="0" quotePrefix="0" xfId="0">
      <alignment vertical="top" wrapText="1"/>
    </xf>
    <xf numFmtId="0" fontId="5" fillId="0" borderId="0" applyAlignment="1" pivotButton="0" quotePrefix="0" xfId="0">
      <alignment horizontal="general" vertical="top" wrapText="1"/>
    </xf>
    <xf numFmtId="164" fontId="7" fillId="0" borderId="1" applyAlignment="1" pivotButton="0" quotePrefix="0" xfId="0">
      <alignment horizontal="general" vertical="top" wrapText="1"/>
    </xf>
    <xf numFmtId="165" fontId="7" fillId="0" borderId="1" applyAlignment="1" pivotButton="0" quotePrefix="0" xfId="0">
      <alignment horizontal="general" vertical="top" wrapText="1"/>
    </xf>
    <xf numFmtId="3" fontId="7" fillId="0" borderId="1" applyAlignment="1" pivotButton="0" quotePrefix="0" xfId="0">
      <alignment horizontal="general" vertical="top" wrapText="1"/>
    </xf>
    <xf numFmtId="0" fontId="5" fillId="0" borderId="0" applyAlignment="1" pivotButton="0" quotePrefix="0" xfId="0">
      <alignment vertical="top" wrapText="1"/>
    </xf>
    <xf numFmtId="0" fontId="6" fillId="2" borderId="0" pivotButton="0" quotePrefix="0" xfId="0"/>
    <xf numFmtId="0" fontId="7" fillId="0" borderId="1" applyAlignment="1" pivotButton="0" quotePrefix="0" xfId="0">
      <alignment vertical="top" wrapText="1"/>
    </xf>
    <xf numFmtId="0" fontId="0" fillId="3"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9D3D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8"/>
  <sheetViews>
    <sheetView showFormulas="0" showGridLines="1" showRowColHeaders="1" showZeros="1" rightToLeft="0" tabSelected="1"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24" customWidth="1" style="10" min="1" max="1"/>
    <col width="11" customWidth="1" style="10" min="2" max="2"/>
    <col width="30" customWidth="1" style="10" min="3" max="3"/>
    <col width="34" customWidth="1" style="10" min="4" max="4"/>
    <col width="16" customWidth="1" style="10" min="5" max="5"/>
    <col width="46" customWidth="1" style="10" min="6" max="6"/>
    <col width="10" customWidth="1" style="10" min="7" max="7"/>
    <col width="12" customWidth="1" style="10" min="8" max="8"/>
    <col width="32" customWidth="1" style="10" min="9" max="9"/>
    <col width="34" customWidth="1" style="10" min="10" max="10"/>
  </cols>
  <sheetData>
    <row r="1" ht="17.35" customHeight="1" s="11">
      <c r="A1" s="12" t="inlineStr">
        <is>
          <t>CardioAI CVD Risk Calculators — Models Sheet</t>
        </is>
      </c>
    </row>
    <row r="2" ht="15" customHeight="1" s="11">
      <c r="A2" s="13" t="inlineStr">
        <is>
          <t>Generated from the repository code (cardioai_core/schema.py, training/labeling.py, training/audit.py, curation/governance.py). Counts in columns G–H are live formulas over the Inputs and Auto-labelling tabs.</t>
        </is>
      </c>
    </row>
    <row r="3" ht="23.85" customHeight="1" s="11">
      <c r="A3" s="14" t="inlineStr">
        <is>
          <t>Calculator</t>
        </is>
      </c>
      <c r="B3" s="14" t="inlineStr">
        <is>
          <t>Target C-statistic</t>
        </is>
      </c>
      <c r="C3" s="14" t="inlineStr">
        <is>
          <t>Primary endpoint</t>
        </is>
      </c>
      <c r="D3" s="14" t="inlineStr">
        <is>
          <t>Secondary endpoints</t>
        </is>
      </c>
      <c r="E3" s="14" t="inlineStr">
        <is>
          <t>Horizons</t>
        </is>
      </c>
      <c r="F3" s="14" t="inlineStr">
        <is>
          <t>Population / eligibility</t>
        </is>
      </c>
      <c r="G3" s="14" t="inlineStr">
        <is>
          <t>Inputs used</t>
        </is>
      </c>
      <c r="H3" s="14" t="inlineStr">
        <is>
          <t>Labelling functions</t>
        </is>
      </c>
      <c r="I3" s="14" t="inlineStr">
        <is>
          <t>Published comparators</t>
        </is>
      </c>
      <c r="J3" s="14" t="inlineStr">
        <is>
          <t>Model</t>
        </is>
      </c>
    </row>
    <row r="4" ht="35.05" customHeight="1" s="11">
      <c r="A4" s="15" t="inlineStr">
        <is>
          <t>Acute Myocardial Infarction (AMI)</t>
        </is>
      </c>
      <c r="B4" s="16" t="n">
        <v>0.82</v>
      </c>
      <c r="C4" s="15" t="inlineStr">
        <is>
          <t>Acute myocardial infarction (5-year)</t>
        </is>
      </c>
      <c r="D4" s="15" t="inlineStr">
        <is>
          <t>—</t>
        </is>
      </c>
      <c r="E4" s="15" t="inlineStr">
        <is>
          <t>30 days, 1 year, 5 years</t>
        </is>
      </c>
      <c r="F4" s="15" t="inlineStr">
        <is>
          <t>Primary and secondary prevention populations. Adults 18–89 (no pediatric patients) at a landmark outpatient visit with a lipid result in the prior year, 2012–2019.</t>
        </is>
      </c>
      <c r="G4" s="15">
        <f>COUNTIF(Inputs!H:H,"Y")</f>
        <v/>
      </c>
      <c r="H4" s="15">
        <f>COUNTIFS('Auto-labelling'!A:A,"ami",'Auto-labelling'!B:B,"&lt;&gt;(bias)")</f>
        <v/>
      </c>
      <c r="I4" s="15" t="inlineStr">
        <is>
          <t>Pooled Cohort Equations (2013 ACC/AHA)</t>
        </is>
      </c>
      <c r="J4" s="15" t="inlineStr">
        <is>
          <t>Calibrated HistGradientBoosting per endpoint × horizon (isotonic/sigmoid, 3-fold)</t>
        </is>
      </c>
    </row>
    <row r="5" ht="35.05" customHeight="1" s="11">
      <c r="A5" s="15" t="inlineStr">
        <is>
          <t>Stroke Risk</t>
        </is>
      </c>
      <c r="B5" s="16" t="n">
        <v>0.75</v>
      </c>
      <c r="C5" s="15" t="inlineStr">
        <is>
          <t>Any stroke or TIA (5-year)</t>
        </is>
      </c>
      <c r="D5" s="15" t="inlineStr">
        <is>
          <t>Ischemic stroke; Hemorrhagic stroke; Transient ischemic attack</t>
        </is>
      </c>
      <c r="E5" s="15" t="inlineStr">
        <is>
          <t>30 days, 1 year, 5 years</t>
        </is>
      </c>
      <c r="F5" s="15" t="inlineStr">
        <is>
          <t>Includes AF-stroke and hemorrhagic stroke models. Adults 18–89 (no pediatric patients) at a landmark outpatient visit with a lipid result in the prior year, 2012–2019.</t>
        </is>
      </c>
      <c r="G5" s="15">
        <f>COUNTIF(Inputs!I:I,"Y")</f>
        <v/>
      </c>
      <c r="H5" s="15">
        <f>COUNTIFS('Auto-labelling'!A:A,"stroke",'Auto-labelling'!B:B,"&lt;&gt;(bias)")</f>
        <v/>
      </c>
      <c r="I5" s="15" t="inlineStr">
        <is>
          <t>CHA₂DS₂-VASc; Pooled Cohort Equations (2013 ACC/AHA)</t>
        </is>
      </c>
      <c r="J5" s="15" t="inlineStr">
        <is>
          <t>Calibrated HistGradientBoosting per endpoint × horizon (isotonic/sigmoid, 3-fold)</t>
        </is>
      </c>
    </row>
    <row r="6" ht="35.05" customHeight="1" s="11">
      <c r="A6" s="15" t="inlineStr">
        <is>
          <t>Heart Failure</t>
        </is>
      </c>
      <c r="B6" s="16" t="n">
        <v>0.8</v>
      </c>
      <c r="C6" s="15" t="inlineStr">
        <is>
          <t>Heart failure hospitalization / diagnosis (5-year)</t>
        </is>
      </c>
      <c r="D6" s="15" t="inlineStr">
        <is>
          <t>HFrEF; HFpEF</t>
        </is>
      </c>
      <c r="E6" s="15" t="inlineStr">
        <is>
          <t>30 days, 1 year, 5 years</t>
        </is>
      </c>
      <c r="F6" s="15" t="inlineStr">
        <is>
          <t>Separate models for HFrEF and HFpEF. Adults 18–89 (no pediatric patients) at a landmark outpatient visit with a lipid result in the prior year, 2012–2019.</t>
        </is>
      </c>
      <c r="G6" s="15">
        <f>COUNTIF(Inputs!J:J,"Y")</f>
        <v/>
      </c>
      <c r="H6" s="15">
        <f>COUNTIFS('Auto-labelling'!A:A,"hf",'Auto-labelling'!B:B,"&lt;&gt;(bias)")</f>
        <v/>
      </c>
      <c r="I6" s="15" t="inlineStr">
        <is>
          <t>—</t>
        </is>
      </c>
      <c r="J6" s="15" t="inlineStr">
        <is>
          <t>Calibrated HistGradientBoosting per endpoint × horizon (isotonic/sigmoid, 3-fold)</t>
        </is>
      </c>
    </row>
    <row r="7" ht="35.05" customHeight="1" s="11">
      <c r="A7" s="15" t="inlineStr">
        <is>
          <t>Sudden Cardiac Death (SCD)</t>
        </is>
      </c>
      <c r="B7" s="16" t="n">
        <v>0.78</v>
      </c>
      <c r="C7" s="15" t="inlineStr">
        <is>
          <t>Cardiac arrest / VF / sustained VT (5-year)</t>
        </is>
      </c>
      <c r="D7" s="15" t="inlineStr">
        <is>
          <t>—</t>
        </is>
      </c>
      <c r="E7" s="15" t="inlineStr">
        <is>
          <t>30 days, 1 year, 5 years</t>
        </is>
      </c>
      <c r="F7" s="15" t="inlineStr">
        <is>
          <t>Guides ICD placement decisions. Adults 18–89 (no pediatric patients) at a landmark outpatient visit with a lipid result in the prior year, 2012–2019.</t>
        </is>
      </c>
      <c r="G7" s="15">
        <f>COUNTIF(Inputs!K:K,"Y")</f>
        <v/>
      </c>
      <c r="H7" s="15">
        <f>COUNTIFS('Auto-labelling'!A:A,"scd",'Auto-labelling'!B:B,"&lt;&gt;(bias)")</f>
        <v/>
      </c>
      <c r="I7" s="15" t="inlineStr">
        <is>
          <t>ACC/AHA/HRS primary-prevention ICD criteria (screen)</t>
        </is>
      </c>
      <c r="J7" s="15" t="inlineStr">
        <is>
          <t>Calibrated HistGradientBoosting per endpoint × horizon (isotonic/sigmoid, 3-fold)</t>
        </is>
      </c>
    </row>
    <row r="8" ht="46.25" customHeight="1" s="11">
      <c r="A8" s="15" t="inlineStr">
        <is>
          <t>Atrial Fibrillation</t>
        </is>
      </c>
      <c r="B8" s="16" t="n">
        <v>0.8</v>
      </c>
      <c r="C8" s="15" t="inlineStr">
        <is>
          <t>New-onset atrial fibrillation / flutter (5-year)</t>
        </is>
      </c>
      <c r="D8" s="15" t="inlineStr">
        <is>
          <t>—</t>
        </is>
      </c>
      <c r="E8" s="15" t="inlineStr">
        <is>
          <t>30 days, 1 year, 5 years</t>
        </is>
      </c>
      <c r="F8" s="15" t="inlineStr">
        <is>
          <t>Enables targeted screening and early intervention. Excludes patients with AF before index. Adults 18–89 (no pediatric patients) at a landmark outpatient visit with a lipid result in the prior year, 2012–2019.</t>
        </is>
      </c>
      <c r="G8" s="15">
        <f>COUNTIF(Inputs!L:L,"Y")</f>
        <v/>
      </c>
      <c r="H8" s="15">
        <f>COUNTIFS('Auto-labelling'!A:A,"af",'Auto-labelling'!B:B,"&lt;&gt;(bias)")</f>
        <v/>
      </c>
      <c r="I8" s="15" t="inlineStr">
        <is>
          <t>CHARGE-AF (simple model)</t>
        </is>
      </c>
      <c r="J8" s="15" t="inlineStr">
        <is>
          <t>Calibrated HistGradientBoosting per endpoint × horizon (isotonic/sigmoid, 3-fold)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G20"/>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style="11" min="1" max="1"/>
    <col width="16" customWidth="1" style="11" min="2" max="2"/>
    <col width="62" customWidth="1" style="11" min="3" max="3"/>
    <col width="22" customWidth="1" style="11" min="4" max="4"/>
    <col width="18" customWidth="1" style="11" min="5" max="5"/>
    <col width="24" customWidth="1" style="11" min="6" max="6"/>
    <col width="36" customWidth="1" style="11" min="7" max="7"/>
  </cols>
  <sheetData>
    <row r="1" ht="48" customHeight="1" s="11">
      <c r="A1" s="24" t="inlineStr">
        <is>
          <t>Who the five calculators are for: Adults aged 18–89 years. Pediatric patients (under 18) are excluded from training, validation and use of all five calculators. The same rules are applied by the cohort SQL, the automatic audit and the calculator app (cardioai_core/schema.py → ELIGIBILITY).</t>
        </is>
      </c>
    </row>
    <row r="2">
      <c r="A2" s="25" t="inlineStr">
        <is>
          <t>ID</t>
        </is>
      </c>
      <c r="B2" s="25" t="inlineStr">
        <is>
          <t>Type</t>
        </is>
      </c>
      <c r="C2" s="25" t="inlineStr">
        <is>
          <t>Criterion</t>
        </is>
      </c>
      <c r="D2" s="25" t="inlineStr">
        <is>
          <t>Applies to</t>
        </is>
      </c>
      <c r="E2" s="25" t="inlineStr">
        <is>
          <t>Lower bound</t>
        </is>
      </c>
      <c r="F2" s="25" t="inlineStr">
        <is>
          <t>Upper bound</t>
        </is>
      </c>
      <c r="G2" s="25" t="inlineStr">
        <is>
          <t>Enforced in</t>
        </is>
      </c>
    </row>
    <row r="3">
      <c r="A3" s="19" t="inlineStr">
        <is>
          <t>I1</t>
        </is>
      </c>
      <c r="B3" s="19" t="inlineStr">
        <is>
          <t>Inclusion</t>
        </is>
      </c>
      <c r="C3" s="19" t="inlineStr">
        <is>
          <t>Age 18–89 years at the index visit (age ≥ 18.0 and &lt; 90.0)</t>
        </is>
      </c>
      <c r="D3" s="19" t="inlineStr">
        <is>
          <t>All 5 calculators</t>
        </is>
      </c>
      <c r="E3" s="19" t="inlineStr">
        <is>
          <t>18 years (inclusive)</t>
        </is>
      </c>
      <c r="F3" s="19" t="inlineStr">
        <is>
          <t>89 years (inclusive; &lt; 90)</t>
        </is>
      </c>
      <c r="G3" s="19" t="inlineStr">
        <is>
          <t>cohort SQL; API validation</t>
        </is>
      </c>
    </row>
    <row r="4">
      <c r="A4" s="19" t="inlineStr">
        <is>
          <t>I2</t>
        </is>
      </c>
      <c r="B4" s="19" t="inlineStr">
        <is>
          <t>Inclusion</t>
        </is>
      </c>
      <c r="C4" s="19" t="inlineStr">
        <is>
          <t>An outpatient visit between 2012-01-01 and 2019-12-31 (one index visit per patient, chosen at random among eligible visits)</t>
        </is>
      </c>
      <c r="D4" s="19" t="inlineStr">
        <is>
          <t>All 5 calculators</t>
        </is>
      </c>
      <c r="E4" s="19" t="inlineStr"/>
      <c r="F4" s="19" t="inlineStr"/>
      <c r="G4" s="19" t="inlineStr">
        <is>
          <t>cohort SQL</t>
        </is>
      </c>
    </row>
    <row r="5">
      <c r="A5" s="19" t="inlineStr">
        <is>
          <t>I3</t>
        </is>
      </c>
      <c r="B5" s="19" t="inlineStr">
        <is>
          <t>Inclusion</t>
        </is>
      </c>
      <c r="C5" s="19" t="inlineStr">
        <is>
          <t>At least 365 days of observation before the index visit</t>
        </is>
      </c>
      <c r="D5" s="19" t="inlineStr">
        <is>
          <t>All 5 calculators</t>
        </is>
      </c>
      <c r="E5" s="19" t="inlineStr"/>
      <c r="F5" s="19" t="inlineStr"/>
      <c r="G5" s="19" t="inlineStr">
        <is>
          <t>cohort SQL</t>
        </is>
      </c>
    </row>
    <row r="6">
      <c r="A6" s="19" t="inlineStr">
        <is>
          <t>I4</t>
        </is>
      </c>
      <c r="B6" s="19" t="inlineStr">
        <is>
          <t>Inclusion</t>
        </is>
      </c>
      <c r="C6" s="19" t="inlineStr">
        <is>
          <t>Total cholesterol or HDL cholesterol measured in the 365 days before the index visit</t>
        </is>
      </c>
      <c r="D6" s="19" t="inlineStr">
        <is>
          <t>All 5 calculators</t>
        </is>
      </c>
      <c r="E6" s="19" t="inlineStr"/>
      <c r="F6" s="19" t="inlineStr"/>
      <c r="G6" s="19" t="inlineStr">
        <is>
          <t>cohort SQL</t>
        </is>
      </c>
    </row>
    <row r="7">
      <c r="A7" s="19" t="inlineStr">
        <is>
          <t>I5</t>
        </is>
      </c>
      <c r="B7" s="19" t="inlineStr">
        <is>
          <t>Inclusion</t>
        </is>
      </c>
      <c r="C7" s="19" t="inlineStr">
        <is>
          <t>Recorded sex male or female (the models and published equations are sex-specific)</t>
        </is>
      </c>
      <c r="D7" s="19" t="inlineStr">
        <is>
          <t>All 5 calculators</t>
        </is>
      </c>
      <c r="E7" s="19" t="inlineStr"/>
      <c r="F7" s="19" t="inlineStr"/>
      <c r="G7" s="19" t="inlineStr">
        <is>
          <t>cohort SQL; API validation</t>
        </is>
      </c>
    </row>
    <row r="8">
      <c r="A8" s="19" t="inlineStr">
        <is>
          <t>E1</t>
        </is>
      </c>
      <c r="B8" s="19" t="inlineStr">
        <is>
          <t>Exclusion</t>
        </is>
      </c>
      <c r="C8" s="19" t="inlineStr">
        <is>
          <t>Age under 18 at the index visit (pediatric)</t>
        </is>
      </c>
      <c r="D8" s="19" t="inlineStr">
        <is>
          <t>All 5 calculators</t>
        </is>
      </c>
      <c r="E8" s="19" t="inlineStr"/>
      <c r="F8" s="19" t="inlineStr">
        <is>
          <t>&lt; 18 years</t>
        </is>
      </c>
      <c r="G8" s="19" t="inlineStr">
        <is>
          <t>cohort SQL; audit (fail); API refuses</t>
        </is>
      </c>
    </row>
    <row r="9">
      <c r="A9" s="19" t="inlineStr">
        <is>
          <t>E2</t>
        </is>
      </c>
      <c r="B9" s="19" t="inlineStr">
        <is>
          <t>Exclusion</t>
        </is>
      </c>
      <c r="C9" s="19" t="inlineStr">
        <is>
          <t>Age 90 or over at the index visit (top-coded in de-identified data)</t>
        </is>
      </c>
      <c r="D9" s="19" t="inlineStr">
        <is>
          <t>All 5 calculators</t>
        </is>
      </c>
      <c r="E9" s="19" t="inlineStr">
        <is>
          <t>≥ 90 years</t>
        </is>
      </c>
      <c r="F9" s="19" t="inlineStr"/>
      <c r="G9" s="19" t="inlineStr">
        <is>
          <t>cohort SQL; audit (fail); API refuses</t>
        </is>
      </c>
    </row>
    <row r="10">
      <c r="A10" s="19" t="inlineStr">
        <is>
          <t>E3</t>
        </is>
      </c>
      <c r="B10" s="19" t="inlineStr">
        <is>
          <t>Exclusion</t>
        </is>
      </c>
      <c r="C10" s="19" t="inlineStr">
        <is>
          <t>Sex not recorded as male or female</t>
        </is>
      </c>
      <c r="D10" s="19" t="inlineStr">
        <is>
          <t>All 5 calculators</t>
        </is>
      </c>
      <c r="E10" s="19" t="inlineStr"/>
      <c r="F10" s="19" t="inlineStr"/>
      <c r="G10" s="19" t="inlineStr">
        <is>
          <t>cohort SQL</t>
        </is>
      </c>
    </row>
    <row r="11">
      <c r="A11" s="19" t="inlineStr">
        <is>
          <t>E4</t>
        </is>
      </c>
      <c r="B11" s="19" t="inlineStr">
        <is>
          <t>Exclusion</t>
        </is>
      </c>
      <c r="C11" s="19" t="inlineStr">
        <is>
          <t>Death recorded on or before the index date</t>
        </is>
      </c>
      <c r="D11" s="19" t="inlineStr">
        <is>
          <t>All 5 calculators</t>
        </is>
      </c>
      <c r="E11" s="19" t="inlineStr"/>
      <c r="F11" s="19" t="inlineStr"/>
      <c r="G11" s="19" t="inlineStr">
        <is>
          <t>cohort SQL</t>
        </is>
      </c>
    </row>
    <row r="12">
      <c r="A12" s="19" t="inlineStr">
        <is>
          <t>E5</t>
        </is>
      </c>
      <c r="B12" s="19" t="inlineStr">
        <is>
          <t>Exclusion</t>
        </is>
      </c>
      <c r="C12" s="19" t="inlineStr">
        <is>
          <t>No observation time after the index date (no follow-up)</t>
        </is>
      </c>
      <c r="D12" s="19" t="inlineStr">
        <is>
          <t>All 5 calculators</t>
        </is>
      </c>
      <c r="E12" s="19" t="inlineStr"/>
      <c r="F12" s="19" t="inlineStr"/>
      <c r="G12" s="19" t="inlineStr">
        <is>
          <t>cohort SQL</t>
        </is>
      </c>
    </row>
    <row r="13">
      <c r="A13" s="19" t="inlineStr">
        <is>
          <t>E6</t>
        </is>
      </c>
      <c r="B13" s="19" t="inlineStr">
        <is>
          <t>Exclusion</t>
        </is>
      </c>
      <c r="C13" s="19" t="inlineStr">
        <is>
          <t>Known atrial fibrillation or flutter at the index visit</t>
        </is>
      </c>
      <c r="D13" s="19" t="inlineStr">
        <is>
          <t>Atrial Fibrillation</t>
        </is>
      </c>
      <c r="E13" s="19" t="inlineStr"/>
      <c r="F13" s="19" t="inlineStr"/>
      <c r="G13" s="19" t="inlineStr">
        <is>
          <t>AF training labels; API returns 'not applicable'</t>
        </is>
      </c>
    </row>
    <row r="14">
      <c r="A14" s="19" t="inlineStr">
        <is>
          <t>O1</t>
        </is>
      </c>
      <c r="B14" s="19" t="inlineStr">
        <is>
          <t>Outcome rule</t>
        </is>
      </c>
      <c r="C14" s="19" t="inlineStr">
        <is>
          <t>Type 2 (supply/demand) MI is not counted as an AMI event (the patient stays in the cohort)</t>
        </is>
      </c>
      <c r="D14" s="19" t="inlineStr">
        <is>
          <t>AMI</t>
        </is>
      </c>
      <c r="E14" s="19" t="inlineStr"/>
      <c r="F14" s="19" t="inlineStr"/>
      <c r="G14" s="19" t="inlineStr">
        <is>
          <t>Labelling governance (data/governance.json)</t>
        </is>
      </c>
    </row>
    <row r="15">
      <c r="A15" s="19" t="inlineStr">
        <is>
          <t>O2</t>
        </is>
      </c>
      <c r="B15" s="19" t="inlineStr">
        <is>
          <t>Outcome rule</t>
        </is>
      </c>
      <c r="C15" s="19" t="inlineStr">
        <is>
          <t>Post-operative AF (≤ 30 days after cardiac surgery) is not counted as new-onset AF (the patient stays in the cohort)</t>
        </is>
      </c>
      <c r="D15" s="19" t="inlineStr">
        <is>
          <t>AF</t>
        </is>
      </c>
      <c r="E15" s="19" t="inlineStr"/>
      <c r="F15" s="19" t="inlineStr"/>
      <c r="G15" s="19" t="inlineStr">
        <is>
          <t>Labelling governance (data/governance.json)</t>
        </is>
      </c>
    </row>
    <row r="16">
      <c r="A16" s="19" t="inlineStr">
        <is>
          <t>O3</t>
        </is>
      </c>
      <c r="B16" s="19" t="inlineStr">
        <is>
          <t>Outcome rule</t>
        </is>
      </c>
      <c r="C16" s="19" t="inlineStr">
        <is>
          <t>Only the first event of each outcome after the index date is counted (the patient stays in the cohort)</t>
        </is>
      </c>
      <c r="D16" s="19" t="inlineStr">
        <is>
          <t>All 5 calculators</t>
        </is>
      </c>
      <c r="E16" s="19" t="inlineStr"/>
      <c r="F16" s="19" t="inlineStr"/>
      <c r="G16" s="19" t="inlineStr">
        <is>
          <t>Labelling governance (data/governance.json)</t>
        </is>
      </c>
    </row>
    <row r="17">
      <c r="A17" s="19" t="inlineStr">
        <is>
          <t>R</t>
        </is>
      </c>
      <c r="B17" s="19" t="inlineStr">
        <is>
          <t>Reference equation range</t>
        </is>
      </c>
      <c r="C17" s="19" t="inlineStr">
        <is>
          <t>Pooled Cohort Equations: validated 40–79 years; outside it the app shows the equation as not applicable</t>
        </is>
      </c>
      <c r="D17" s="19" t="inlineStr">
        <is>
          <t>Reference only</t>
        </is>
      </c>
      <c r="E17" s="19" t="inlineStr"/>
      <c r="F17" s="19" t="inlineStr"/>
      <c r="G17" s="19" t="inlineStr">
        <is>
          <t>cardioai_core/equations.py</t>
        </is>
      </c>
    </row>
    <row r="18">
      <c r="A18" s="19" t="inlineStr">
        <is>
          <t>R</t>
        </is>
      </c>
      <c r="B18" s="19" t="inlineStr">
        <is>
          <t>Reference equation range</t>
        </is>
      </c>
      <c r="C18" s="19" t="inlineStr">
        <is>
          <t>CHARGE-AF: validated 46–94 years (used here up to 89); outside it the app shows the equation as not applicable</t>
        </is>
      </c>
      <c r="D18" s="19" t="inlineStr">
        <is>
          <t>Reference only</t>
        </is>
      </c>
      <c r="E18" s="19" t="inlineStr"/>
      <c r="F18" s="19" t="inlineStr"/>
      <c r="G18" s="19" t="inlineStr">
        <is>
          <t>cardioai_core/equations.py</t>
        </is>
      </c>
    </row>
    <row r="19">
      <c r="A19" s="19" t="inlineStr">
        <is>
          <t>R</t>
        </is>
      </c>
      <c r="B19" s="19" t="inlineStr">
        <is>
          <t>Reference equation range</t>
        </is>
      </c>
      <c r="C19" s="19" t="inlineStr">
        <is>
          <t>CHA₂DS₂-VASc: validated adults with AF; outside it the app shows the equation as not applicable</t>
        </is>
      </c>
      <c r="D19" s="19" t="inlineStr">
        <is>
          <t>Reference only</t>
        </is>
      </c>
      <c r="E19" s="19" t="inlineStr"/>
      <c r="F19" s="19" t="inlineStr"/>
      <c r="G19" s="19" t="inlineStr">
        <is>
          <t>cardioai_core/equations.py</t>
        </is>
      </c>
    </row>
    <row r="20">
      <c r="A20" s="19" t="inlineStr">
        <is>
          <t>R</t>
        </is>
      </c>
      <c r="B20" s="19" t="inlineStr">
        <is>
          <t>Reference equation range</t>
        </is>
      </c>
      <c r="C20" s="19" t="inlineStr">
        <is>
          <t>ICD criteria: validated adults; outside it the app shows the equation as not applicable</t>
        </is>
      </c>
      <c r="D20" s="19" t="inlineStr">
        <is>
          <t>Reference only</t>
        </is>
      </c>
      <c r="E20" s="19" t="inlineStr"/>
      <c r="F20" s="19" t="inlineStr"/>
      <c r="G20" s="19" t="inlineStr">
        <is>
          <t>cardioai_core/equations.py</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5" customWidth="1" style="11" min="1" max="1"/>
    <col width="22" customWidth="1" style="11" min="2" max="2"/>
    <col width="50" customWidth="1" style="11" min="3" max="3"/>
    <col width="40" customWidth="1" style="11" min="4" max="4"/>
    <col width="40" customWidth="1" style="11" min="5" max="5"/>
    <col width="18" customWidth="1" style="11" min="6" max="6"/>
    <col width="12" customWidth="1" style="11" min="7" max="7"/>
    <col width="45" customWidth="1" style="11" min="8" max="8"/>
    <col width="20" customWidth="1" style="11" min="9" max="9"/>
  </cols>
  <sheetData>
    <row r="1" ht="30" customHeight="1" s="11">
      <c r="A1" s="17" t="inlineStr">
        <is>
          <t>Items that need a response from Mayo Clinic Platform (MCP) before or during the build. Fill in the response, who answered and when.</t>
        </is>
      </c>
    </row>
    <row r="2">
      <c r="A2" s="18" t="inlineStr">
        <is>
          <t>#</t>
        </is>
      </c>
      <c r="B2" s="18" t="inlineStr">
        <is>
          <t>Topic</t>
        </is>
      </c>
      <c r="C2" s="18" t="inlineStr">
        <is>
          <t>Question for MCP</t>
        </is>
      </c>
      <c r="D2" s="18" t="inlineStr">
        <is>
          <t>Why it matters</t>
        </is>
      </c>
      <c r="E2" s="18" t="inlineStr">
        <is>
          <t>What it blocks / where it is used</t>
        </is>
      </c>
      <c r="F2" s="18" t="inlineStr">
        <is>
          <t>Needed by</t>
        </is>
      </c>
      <c r="G2" s="18" t="inlineStr">
        <is>
          <t>Status</t>
        </is>
      </c>
      <c r="H2" s="18" t="inlineStr">
        <is>
          <t>MCP response</t>
        </is>
      </c>
      <c r="I2" s="18" t="inlineStr">
        <is>
          <t>Answered by / date</t>
        </is>
      </c>
    </row>
    <row r="3">
      <c r="A3" s="19" t="n">
        <v>1</v>
      </c>
      <c r="B3" s="19" t="inlineStr">
        <is>
          <t>Echo data (FACT_ECHO_TEST)</t>
        </is>
      </c>
      <c r="C3" s="19" t="inlineStr">
        <is>
          <t>Which columns hold the patient key, the echo date/time and the echo id, and how does the patient key map to OMOP person_id?</t>
        </is>
      </c>
      <c r="D3" s="19" t="inlineStr">
        <is>
          <t>LVEF from echo notes is an input and an HF subtype source; the extract must join echo notes to the cohort.</t>
        </is>
      </c>
      <c r="E3" s="19" t="inlineStr">
        <is>
          <t>Echo extraction refuses to run until set (training/native_sources.json). Runbook Phase 2.</t>
        </is>
      </c>
      <c r="F3" s="19" t="inlineStr">
        <is>
          <t>Before extraction (Phase 3)</t>
        </is>
      </c>
      <c r="G3" s="19" t="inlineStr">
        <is>
          <t>Open</t>
        </is>
      </c>
      <c r="H3" s="19" t="inlineStr"/>
      <c r="I3" s="19" t="inlineStr"/>
    </row>
    <row r="4">
      <c r="A4" s="19" t="n">
        <v>2</v>
      </c>
      <c r="B4" s="19" t="inlineStr">
        <is>
          <t>Table locations</t>
        </is>
      </c>
      <c r="C4" s="19" t="inlineStr">
        <is>
          <t>What are the Spark catalog/schema names for the OMOP CDM tables and the native FACT_* tables? Does OMOP note hold all FACT_RADIOLOGY reports?</t>
        </is>
      </c>
      <c r="D4" s="19" t="inlineStr">
        <is>
          <t>The Spark SQL extract needs exact table names; radiology reports supply CAC and stroke imaging evidence.</t>
        </is>
      </c>
      <c r="E4" s="19" t="inlineStr">
        <is>
          <t>Extraction configuration (training/extract.py, preflight). Runbook Phase 2.</t>
        </is>
      </c>
      <c r="F4" s="19" t="inlineStr">
        <is>
          <t>Before extraction (Phase 3)</t>
        </is>
      </c>
      <c r="G4" s="19" t="inlineStr">
        <is>
          <t>Open</t>
        </is>
      </c>
      <c r="H4" s="19" t="inlineStr"/>
      <c r="I4" s="19" t="inlineStr"/>
    </row>
    <row r="5">
      <c r="A5" s="19" t="n">
        <v>3</v>
      </c>
      <c r="B5" s="19" t="inlineStr">
        <is>
          <t>Primary diagnosis</t>
        </is>
      </c>
      <c r="C5" s="19" t="inlineStr">
        <is>
          <t>Which condition_status_concept_id / condition_type_concept_id values mark a primary (principal) diagnosis in Mayo's OMOP data?</t>
        </is>
      </c>
      <c r="D5" s="19" t="inlineStr">
        <is>
          <t>The 'primary_dx' labelling function votes for events coded as primary.</t>
        </is>
      </c>
      <c r="E5" s="19" t="inlineStr">
        <is>
          <t>Auto-labelling accuracy for AMI, stroke, HF and SCD (training/codesets.py PRIMARY_STATUS).</t>
        </is>
      </c>
      <c r="F5" s="19" t="inlineStr">
        <is>
          <t>Before labelling (Phase 5)</t>
        </is>
      </c>
      <c r="G5" s="19" t="inlineStr">
        <is>
          <t>Open</t>
        </is>
      </c>
      <c r="H5" s="19" t="inlineStr"/>
      <c r="I5" s="19" t="inlineStr"/>
    </row>
    <row r="6">
      <c r="A6" s="19" t="n">
        <v>4</v>
      </c>
      <c r="B6" s="19" t="inlineStr">
        <is>
          <t>Troponin assay history</t>
        </is>
      </c>
      <c r="C6" s="19" t="inlineStr">
        <is>
          <t>On what date did Mayo switch from conventional troponin T to hs-troponin T Gen 5, and is measurement.range_high populated?</t>
        </is>
      </c>
      <c r="D6" s="19" t="inlineStr">
        <is>
          <t>AMI labels depend on troponin above the upper reference limit with a rise/fall; the limit differs by assay.</t>
        </is>
      </c>
      <c r="E6" s="19" t="inlineStr">
        <is>
          <t>AMI auto-labels and the reference limits shown to readers.</t>
        </is>
      </c>
      <c r="F6" s="19" t="inlineStr">
        <is>
          <t>Before labelling (Phase 5)</t>
        </is>
      </c>
      <c r="G6" s="19" t="inlineStr">
        <is>
          <t>Open</t>
        </is>
      </c>
      <c r="H6" s="19" t="inlineStr"/>
      <c r="I6" s="19" t="inlineStr"/>
    </row>
    <row r="7">
      <c r="A7" s="19" t="n">
        <v>5</v>
      </c>
      <c r="B7" s="19" t="inlineStr">
        <is>
          <t>Death data completeness</t>
        </is>
      </c>
      <c r="C7" s="19" t="inlineStr">
        <is>
          <t>How complete is death data for deaths outside Mayo (e.g. state death-index linkage), and from what date?</t>
        </is>
      </c>
      <c r="D7" s="19" t="inlineStr">
        <is>
          <t>Sudden cardiac death outside hospital is otherwise under-captured; death also censors follow-up.</t>
        </is>
      </c>
      <c r="E7" s="19" t="inlineStr">
        <is>
          <t>SCD endpoint validity; follow-up and censoring for all calculators.</t>
        </is>
      </c>
      <c r="F7" s="19" t="inlineStr">
        <is>
          <t>Before training (Phase 9)</t>
        </is>
      </c>
      <c r="G7" s="19" t="inlineStr">
        <is>
          <t>Open</t>
        </is>
      </c>
      <c r="H7" s="19" t="inlineStr"/>
      <c r="I7" s="19" t="inlineStr"/>
    </row>
    <row r="8">
      <c r="A8" s="19" t="n">
        <v>6</v>
      </c>
      <c r="B8" s="19" t="inlineStr">
        <is>
          <t>Model export review</t>
        </is>
      </c>
      <c r="C8" s="19" t="inlineStr">
        <is>
          <t>Is the cell-suppression threshold &lt; 11 correct, and what are the export-review steps, reviewers and expected turnaround?</t>
        </is>
      </c>
      <c r="D8" s="19" t="inlineStr">
        <is>
          <t>Only the reviewed model bundle (weights + aggregate metrics) may leave the workspace.</t>
        </is>
      </c>
      <c r="E8" s="19" t="inlineStr">
        <is>
          <t>Release of the trained bundle to Render (Runbook Phase 10).</t>
        </is>
      </c>
      <c r="F8" s="19" t="inlineStr">
        <is>
          <t>Before deployment (Phase 10)</t>
        </is>
      </c>
      <c r="G8" s="19" t="inlineStr">
        <is>
          <t>Open</t>
        </is>
      </c>
      <c r="H8" s="19" t="inlineStr"/>
      <c r="I8" s="19" t="inlineStr"/>
    </row>
    <row r="9">
      <c r="A9" s="19" t="n">
        <v>7</v>
      </c>
      <c r="B9" s="19" t="inlineStr">
        <is>
          <t>Hosting the exported model</t>
        </is>
      </c>
      <c r="C9" s="19" t="inlineStr">
        <is>
          <t>Does the CardioAI agreement allow hosting the export-approved model bundle in private object storage and serving it from the Render web app?</t>
        </is>
      </c>
      <c r="D9" s="19" t="inlineStr">
        <is>
          <t>The live calculators load the bundle from MODEL_BUNDLE_URL.</t>
        </is>
      </c>
      <c r="E9" s="19" t="inlineStr">
        <is>
          <t>Switching the live app from demo to Mayo-trained models.</t>
        </is>
      </c>
      <c r="F9" s="19" t="inlineStr">
        <is>
          <t>Before deployment (Phase 10)</t>
        </is>
      </c>
      <c r="G9" s="19" t="inlineStr">
        <is>
          <t>Open</t>
        </is>
      </c>
      <c r="H9" s="19" t="inlineStr"/>
      <c r="I9" s="19" t="inlineStr"/>
    </row>
    <row r="10">
      <c r="A10" s="19" t="n">
        <v>8</v>
      </c>
      <c r="B10" s="19" t="inlineStr">
        <is>
          <t>Annotator seats</t>
        </is>
      </c>
      <c r="C10" s="19" t="inlineStr">
        <is>
          <t>Are the 5 annotator seats (cardioailive.com accounts) separate from the data scientists' workspace seats?</t>
        </is>
      </c>
      <c r="D10" s="19" t="inlineStr">
        <is>
          <t>Staffing for adjudication: up to 5 cardiologist readers plus data scientists.</t>
        </is>
      </c>
      <c r="E10" s="19" t="inlineStr">
        <is>
          <t>Reader accounts in the curation workbench (reader_policy).</t>
        </is>
      </c>
      <c r="F10" s="19" t="inlineStr">
        <is>
          <t>Before adjudication (Phase 7)</t>
        </is>
      </c>
      <c r="G10" s="19" t="inlineStr">
        <is>
          <t>Open</t>
        </is>
      </c>
      <c r="H10" s="19" t="inlineStr"/>
      <c r="I10" s="19" t="inlineStr"/>
    </row>
    <row r="11">
      <c r="A11" s="19" t="n">
        <v>9</v>
      </c>
      <c r="B11" s="19" t="inlineStr">
        <is>
          <t>Training in the workspace</t>
        </is>
      </c>
      <c r="C11" s="19" t="inlineStr">
        <is>
          <t>May the synthetic-data training environment and a second curation workbench (port 8091, localhost via JupyterLab) run in the workspace, and may annotator seats be used for training before live adjudication?</t>
        </is>
      </c>
      <c r="D11" s="19" t="inlineStr">
        <is>
          <t>The Label &amp; Annotation Training Program runs inside the workspace on synthetic data.</t>
        </is>
      </c>
      <c r="E11" s="19" t="inlineStr">
        <is>
          <t>Training sessions 1-8 and reader certification.</t>
        </is>
      </c>
      <c r="F11" s="19" t="inlineStr">
        <is>
          <t>Before training session 1</t>
        </is>
      </c>
      <c r="G11" s="19" t="inlineStr">
        <is>
          <t>Open</t>
        </is>
      </c>
      <c r="H11" s="19" t="inlineStr"/>
      <c r="I11" s="19" t="inlineStr"/>
    </row>
    <row r="12">
      <c r="A12" s="19" t="n">
        <v>10</v>
      </c>
      <c r="B12" s="19" t="inlineStr">
        <is>
          <t>Platform_Validate (optional)</t>
        </is>
      </c>
      <c r="C12" s="19" t="inlineStr">
        <is>
          <t>Is Platform_Validate available for an independent bias / sensitivity / specificity report on the trained bundle, and what does submission involve?</t>
        </is>
      </c>
      <c r="D12" s="19" t="inlineStr">
        <is>
          <t>Independent validation strengthens the clinical and regulatory case.</t>
        </is>
      </c>
      <c r="E12" s="19" t="inlineStr">
        <is>
          <t>Optional step in Runbook Phase 10.</t>
        </is>
      </c>
      <c r="F12" s="19" t="inlineStr">
        <is>
          <t>After training (optional)</t>
        </is>
      </c>
      <c r="G12" s="19" t="inlineStr">
        <is>
          <t>Open</t>
        </is>
      </c>
      <c r="H12" s="19" t="inlineStr"/>
      <c r="I12" s="19" t="inlineStr"/>
    </row>
    <row r="13">
      <c r="A13" s="19" t="n">
        <v>11</v>
      </c>
      <c r="B13" s="19" t="inlineStr">
        <is>
          <t>Age top-coding</t>
        </is>
      </c>
      <c r="C13" s="19" t="inlineStr">
        <is>
          <t>Are ages 90 and over top-coded ("90+") in the de-identified data, and are dates of birth or ages shifted? Confirm the cohort upper bound of 89.</t>
        </is>
      </c>
      <c r="D13" s="19" t="inlineStr">
        <is>
          <t>The calculators are restricted to adults 18–89; the upper bound assumes ages ≥ 90 are top-coded.</t>
        </is>
      </c>
      <c r="E13" s="19" t="inlineStr">
        <is>
          <t>Cohort age bounds (cardioai_core/schema.py AGE_MIN / AGE_MAX).</t>
        </is>
      </c>
      <c r="F13" s="19" t="inlineStr">
        <is>
          <t>Before extraction (Phase 3)</t>
        </is>
      </c>
      <c r="G13" s="19" t="inlineStr">
        <is>
          <t>Open</t>
        </is>
      </c>
      <c r="H13" s="19" t="inlineStr"/>
      <c r="I13" s="19" t="inlineStr"/>
    </row>
  </sheetData>
  <mergeCells count="1">
    <mergeCell ref="A1:I1"/>
  </mergeCells>
  <dataValidations count="1">
    <dataValidation sqref="G3:G13" showDropDown="0" showInputMessage="0" showErrorMessage="0" allowBlank="1" type="list">
      <formula1>"Open,Asked,Answered,Not applicable"</formula1>
    </dataValidation>
  </dataValidations>
  <pageMargins left="0.75" right="0.75" top="1" bottom="1" header="0.5" footer="0.5"/>
</worksheet>
</file>

<file path=xl/worksheets/sheet4.xml><?xml version="1.0" encoding="utf-8"?>
<worksheet xmlns="http://schemas.openxmlformats.org/spreadsheetml/2006/main">
  <sheetPr filterMode="0">
    <outlinePr summaryBelow="1" summaryRight="1"/>
    <pageSetUpPr fitToPage="0"/>
  </sheetPr>
  <dimension ref="A1:I12"/>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baseColWidth="8" defaultColWidth="8.6796875" defaultRowHeight="15" zeroHeight="0" outlineLevelRow="0"/>
  <cols>
    <col width="13" customWidth="1" style="10" min="1" max="1"/>
    <col width="18" customWidth="1" style="10" min="2" max="2"/>
    <col width="11" customWidth="1" style="10" min="3" max="3"/>
    <col width="30" customWidth="1" style="10" min="4" max="4"/>
    <col width="40" customWidth="1" style="10" min="5" max="5"/>
    <col width="30" customWidth="1" style="10" min="6" max="6"/>
    <col width="50" customWidth="1" style="10" min="7" max="7"/>
    <col width="12" customWidth="1" style="10" min="8" max="8"/>
    <col width="10" customWidth="1" style="10" min="9" max="9"/>
  </cols>
  <sheetData>
    <row r="1" ht="30" customHeight="1" s="11">
      <c r="A1" s="20" t="inlineStr">
        <is>
          <t>Primary = the headline risk each calculator shows; secondary = other endpoints the same calculator reports. Codes only create candidates; whether a candidate is an event is decided by auto-labelling and cardiologist adjudication.</t>
        </is>
      </c>
    </row>
    <row r="2" ht="35.05" customHeight="1" s="11">
      <c r="A2" s="14" t="inlineStr">
        <is>
          <t>Calculator</t>
        </is>
      </c>
      <c r="B2" s="14" t="inlineStr">
        <is>
          <t>Endpoint id</t>
        </is>
      </c>
      <c r="C2" s="14" t="inlineStr">
        <is>
          <t>Role</t>
        </is>
      </c>
      <c r="D2" s="14" t="inlineStr">
        <is>
          <t>Endpoint</t>
        </is>
      </c>
      <c r="E2" s="14" t="inlineStr">
        <is>
          <t>Definition (adjudication standard)</t>
        </is>
      </c>
      <c r="F2" s="14" t="inlineStr">
        <is>
          <t>Candidate diagnosis codes</t>
        </is>
      </c>
      <c r="G2" s="14" t="inlineStr">
        <is>
          <t>What counts as an event</t>
        </is>
      </c>
      <c r="H2" s="14" t="inlineStr">
        <is>
          <t>Horizons</t>
        </is>
      </c>
      <c r="I2" s="14" t="inlineStr">
        <is>
          <t>Headline horizon</t>
        </is>
      </c>
    </row>
    <row r="3" ht="23.85" customHeight="1" s="11">
      <c r="A3" s="15" t="inlineStr">
        <is>
          <t>AMI</t>
        </is>
      </c>
      <c r="B3" s="15" t="inlineStr">
        <is>
          <t>ami</t>
        </is>
      </c>
      <c r="C3" s="15" t="inlineStr">
        <is>
          <t>Primary</t>
        </is>
      </c>
      <c r="D3" s="15" t="inlineStr">
        <is>
          <t>Acute myocardial infarction</t>
        </is>
      </c>
      <c r="E3" s="15" t="inlineStr">
        <is>
          <t>Fourth Universal Definition of Myocardial Infarction (Thygesen K et al., Circulation 2018)</t>
        </is>
      </c>
      <c r="F3" s="26" t="inlineStr">
        <is>
          <t>ICD-10-CM: I21.01–I21.4 (STEMI, NSTEMI), I21.9, I21.A1 (type 2), I21.A9, I21.B, I22.0–I22.9 (subsequent MI)
ICD-9-CM: 410.x0 and 410.x1 (episode unspecified / initial); 410.x2 subsequent episode excluded
44 codes — full list: Candidate codes tab</t>
        </is>
      </c>
      <c r="G3" s="15" t="inlineStr">
        <is>
          <t>Confirmed STEMI, NSTEMI or unspecified MI. Type 2 MI excluded (governance ami_include_type2 = false)</t>
        </is>
      </c>
      <c r="H3" s="15" t="inlineStr">
        <is>
          <t>30d, 1y, 5y</t>
        </is>
      </c>
      <c r="I3" s="15" t="inlineStr">
        <is>
          <t>5y</t>
        </is>
      </c>
    </row>
    <row r="4" ht="35.05" customHeight="1" s="11">
      <c r="A4" s="15" t="inlineStr">
        <is>
          <t>Stroke</t>
        </is>
      </c>
      <c r="B4" s="15" t="inlineStr">
        <is>
          <t>any_stroke</t>
        </is>
      </c>
      <c r="C4" s="15" t="inlineStr">
        <is>
          <t>Primary</t>
        </is>
      </c>
      <c r="D4" s="15" t="inlineStr">
        <is>
          <t>Any stroke or TIA</t>
        </is>
      </c>
      <c r="E4" s="15" t="inlineStr">
        <is>
          <t>AHA/ASA updated definition of stroke (Sacco RL et al., Stroke 2013)</t>
        </is>
      </c>
      <c r="F4" s="26" t="inlineStr">
        <is>
          <t>ICD-10-CM: I60.x (SAH), I61.x (ICH), I62.9, I63.x (infarction), G45.0–G45.3, G45.8, G45.9 (TIA); excluded I62.0x subdural, I62.1 extradural, G45.4 transient global amnesia
ICD-9-CM: 430, 431, 432.9, 433.x1, 434.x1, 435.x (not 435.2), 436
177 codes — full list: Candidate codes tab</t>
        </is>
      </c>
      <c r="G4" s="15" t="inlineStr">
        <is>
          <t>Any confirmed stroke / tia event, any subtype</t>
        </is>
      </c>
      <c r="H4" s="15" t="inlineStr">
        <is>
          <t>30d, 1y, 5y</t>
        </is>
      </c>
      <c r="I4" s="15" t="inlineStr">
        <is>
          <t>5y</t>
        </is>
      </c>
    </row>
    <row r="5" ht="35.05" customHeight="1" s="11">
      <c r="A5" s="15" t="inlineStr">
        <is>
          <t>Stroke</t>
        </is>
      </c>
      <c r="B5" s="15" t="inlineStr">
        <is>
          <t>ischemic_stroke</t>
        </is>
      </c>
      <c r="C5" s="15" t="inlineStr">
        <is>
          <t>Secondary</t>
        </is>
      </c>
      <c r="D5" s="15" t="inlineStr">
        <is>
          <t>Ischemic stroke</t>
        </is>
      </c>
      <c r="E5" s="15" t="inlineStr">
        <is>
          <t>AHA/ASA updated definition of stroke (Sacco RL et al., Stroke 2013)</t>
        </is>
      </c>
      <c r="F5" s="26" t="inlineStr">
        <is>
          <t>ICD-10-CM: I60.x (SAH), I61.x (ICH), I62.9, I63.x (infarction), G45.0–G45.3, G45.8, G45.9 (TIA); excluded I62.0x subdural, I62.1 extradural, G45.4 transient global amnesia
ICD-9-CM: 430, 431, 432.9, 433.x1, 434.x1, 435.x (not 435.2), 436
177 codes — full list: Candidate codes tab</t>
        </is>
      </c>
      <c r="G5" s="15" t="inlineStr">
        <is>
          <t>Confirmed stroke event with subtype ischemic; hemorrhagic, tia = known non-event; other/unknown subtype = unresolved</t>
        </is>
      </c>
      <c r="H5" s="15" t="inlineStr">
        <is>
          <t>30d, 1y, 5y</t>
        </is>
      </c>
      <c r="I5" s="15" t="inlineStr">
        <is>
          <t>—</t>
        </is>
      </c>
    </row>
    <row r="6" ht="35.05" customHeight="1" s="11">
      <c r="A6" s="15" t="inlineStr">
        <is>
          <t>Stroke</t>
        </is>
      </c>
      <c r="B6" s="15" t="inlineStr">
        <is>
          <t>hemorrhagic_stroke</t>
        </is>
      </c>
      <c r="C6" s="15" t="inlineStr">
        <is>
          <t>Secondary</t>
        </is>
      </c>
      <c r="D6" s="15" t="inlineStr">
        <is>
          <t>Hemorrhagic stroke</t>
        </is>
      </c>
      <c r="E6" s="15" t="inlineStr">
        <is>
          <t>AHA/ASA updated definition of stroke (Sacco RL et al., Stroke 2013)</t>
        </is>
      </c>
      <c r="F6" s="26" t="inlineStr">
        <is>
          <t>ICD-10-CM: I60.x (SAH), I61.x (ICH), I62.9, I63.x (infarction), G45.0–G45.3, G45.8, G45.9 (TIA); excluded I62.0x subdural, I62.1 extradural, G45.4 transient global amnesia
ICD-9-CM: 430, 431, 432.9, 433.x1, 434.x1, 435.x (not 435.2), 436
177 codes — full list: Candidate codes tab</t>
        </is>
      </c>
      <c r="G6" s="15" t="inlineStr">
        <is>
          <t>Confirmed stroke event with subtype hemorrhagic; ischemic, tia = known non-event; other/unknown subtype = unresolved</t>
        </is>
      </c>
      <c r="H6" s="15" t="inlineStr">
        <is>
          <t>30d, 1y, 5y</t>
        </is>
      </c>
      <c r="I6" s="15" t="inlineStr">
        <is>
          <t>—</t>
        </is>
      </c>
    </row>
    <row r="7" ht="35.05" customHeight="1" s="11">
      <c r="A7" s="15" t="inlineStr">
        <is>
          <t>Stroke</t>
        </is>
      </c>
      <c r="B7" s="15" t="inlineStr">
        <is>
          <t>tia</t>
        </is>
      </c>
      <c r="C7" s="15" t="inlineStr">
        <is>
          <t>Secondary</t>
        </is>
      </c>
      <c r="D7" s="15" t="inlineStr">
        <is>
          <t>Transient ischemic attack</t>
        </is>
      </c>
      <c r="E7" s="15" t="inlineStr">
        <is>
          <t>AHA/ASA updated definition of stroke (Sacco RL et al., Stroke 2013)</t>
        </is>
      </c>
      <c r="F7" s="26" t="inlineStr">
        <is>
          <t>ICD-10-CM: I60.x (SAH), I61.x (ICH), I62.9, I63.x (infarction), G45.0–G45.3, G45.8, G45.9 (TIA); excluded I62.0x subdural, I62.1 extradural, G45.4 transient global amnesia
ICD-9-CM: 430, 431, 432.9, 433.x1, 434.x1, 435.x (not 435.2), 436
177 codes — full list: Candidate codes tab</t>
        </is>
      </c>
      <c r="G7" s="15" t="inlineStr">
        <is>
          <t>Confirmed stroke event with subtype tia; hemorrhagic, ischemic = known non-event; other/unknown subtype = unresolved</t>
        </is>
      </c>
      <c r="H7" s="15" t="inlineStr">
        <is>
          <t>30d, 1y, 5y</t>
        </is>
      </c>
      <c r="I7" s="15" t="inlineStr">
        <is>
          <t>—</t>
        </is>
      </c>
    </row>
    <row r="8" ht="23.85" customHeight="1" s="11">
      <c r="A8" s="15" t="inlineStr">
        <is>
          <t>Heart failure</t>
        </is>
      </c>
      <c r="B8" s="15" t="inlineStr">
        <is>
          <t>hf</t>
        </is>
      </c>
      <c r="C8" s="15" t="inlineStr">
        <is>
          <t>Primary</t>
        </is>
      </c>
      <c r="D8" s="15" t="inlineStr">
        <is>
          <t>Heart failure hospitalization / diagnosis</t>
        </is>
      </c>
      <c r="E8" s="15" t="inlineStr">
        <is>
          <t>Universal Definition of Heart Failure (Bozkurt B et al., J Card Fail 2021)</t>
        </is>
      </c>
      <c r="F8" s="26" t="inlineStr">
        <is>
          <t>ICD-10-CM: I50.x, I11.0, I13.0, I13.2, I09.81 (rheumatic), I97.130–I97.131 (postprocedural)
ICD-9-CM: 428.x, 402.01/.11/.91, 404.01/.03/.11/.13/.91/.93, 398.91
61 codes — full list: Candidate codes tab</t>
        </is>
      </c>
      <c r="G8" s="15" t="inlineStr">
        <is>
          <t>Any confirmed heart failure event, any subtype</t>
        </is>
      </c>
      <c r="H8" s="15" t="inlineStr">
        <is>
          <t>30d, 1y, 5y</t>
        </is>
      </c>
      <c r="I8" s="15" t="inlineStr">
        <is>
          <t>5y</t>
        </is>
      </c>
    </row>
    <row r="9" ht="23.85" customHeight="1" s="11">
      <c r="A9" s="15" t="inlineStr">
        <is>
          <t>Heart failure</t>
        </is>
      </c>
      <c r="B9" s="15" t="inlineStr">
        <is>
          <t>hfref</t>
        </is>
      </c>
      <c r="C9" s="15" t="inlineStr">
        <is>
          <t>Secondary</t>
        </is>
      </c>
      <c r="D9" s="15" t="inlineStr">
        <is>
          <t>HFrEF</t>
        </is>
      </c>
      <c r="E9" s="15" t="inlineStr">
        <is>
          <t>Universal Definition of Heart Failure (Bozkurt B et al., J Card Fail 2021)</t>
        </is>
      </c>
      <c r="F9" s="26" t="inlineStr">
        <is>
          <t>ICD-10-CM: I50.x, I11.0, I13.0, I13.2, I09.81 (rheumatic), I97.130–I97.131 (postprocedural)
ICD-9-CM: 428.x, 402.01/.11/.91, 404.01/.03/.11/.13/.91/.93, 398.91
61 codes — full list: Candidate codes tab</t>
        </is>
      </c>
      <c r="G9" s="15" t="inlineStr">
        <is>
          <t>Confirmed hf event with subtype hfref; hfmref, hfpef = known non-event; other/unknown subtype = unresolved</t>
        </is>
      </c>
      <c r="H9" s="15" t="inlineStr">
        <is>
          <t>30d, 1y, 5y</t>
        </is>
      </c>
      <c r="I9" s="15" t="inlineStr">
        <is>
          <t>—</t>
        </is>
      </c>
    </row>
    <row r="10" ht="23.85" customHeight="1" s="11">
      <c r="A10" s="15" t="inlineStr">
        <is>
          <t>Heart failure</t>
        </is>
      </c>
      <c r="B10" s="15" t="inlineStr">
        <is>
          <t>hfpef</t>
        </is>
      </c>
      <c r="C10" s="15" t="inlineStr">
        <is>
          <t>Secondary</t>
        </is>
      </c>
      <c r="D10" s="15" t="inlineStr">
        <is>
          <t>HFpEF</t>
        </is>
      </c>
      <c r="E10" s="15" t="inlineStr">
        <is>
          <t>Universal Definition of Heart Failure (Bozkurt B et al., J Card Fail 2021)</t>
        </is>
      </c>
      <c r="F10" s="26" t="inlineStr">
        <is>
          <t>ICD-10-CM: I50.x, I11.0, I13.0, I13.2, I09.81 (rheumatic), I97.130–I97.131 (postprocedural)
ICD-9-CM: 428.x, 402.01/.11/.91, 404.01/.03/.11/.13/.91/.93, 398.91
61 codes — full list: Candidate codes tab</t>
        </is>
      </c>
      <c r="G10" s="15" t="inlineStr">
        <is>
          <t>Confirmed hf event with subtype hfpef; hfmref, hfref = known non-event; other/unknown subtype = unresolved</t>
        </is>
      </c>
      <c r="H10" s="15" t="inlineStr">
        <is>
          <t>30d, 1y, 5y</t>
        </is>
      </c>
      <c r="I10" s="15" t="inlineStr">
        <is>
          <t>—</t>
        </is>
      </c>
    </row>
    <row r="11" ht="23.85" customHeight="1" s="11">
      <c r="A11" s="15" t="inlineStr">
        <is>
          <t>SCD</t>
        </is>
      </c>
      <c r="B11" s="15" t="inlineStr">
        <is>
          <t>scd</t>
        </is>
      </c>
      <c r="C11" s="15" t="inlineStr">
        <is>
          <t>Primary</t>
        </is>
      </c>
      <c r="D11" s="15" t="inlineStr">
        <is>
          <t>Cardiac arrest / VF / sustained VT</t>
        </is>
      </c>
      <c r="E11" s="15" t="inlineStr">
        <is>
          <t>2017 AHA/ACC/HRS Ventricular Arrhythmia and SCD Guideline definitions</t>
        </is>
      </c>
      <c r="F11" s="26" t="inlineStr">
        <is>
          <t>ICD-10-CM: I46.x (arrest), I49.01 (VF), I49.02 (V flutter), I47.2 and I47.20–I47.29 (VT), I97.120–I97.121 (postprocedural arrest)
ICD-9-CM: 427.5, 427.41, 427.42, 427.1
17 codes — full list: Candidate codes tab</t>
        </is>
      </c>
      <c r="G11" s="15" t="inlineStr">
        <is>
          <t>Any confirmed sudden cardiac arrest / ventricular arrhythmia event, any subtype</t>
        </is>
      </c>
      <c r="H11" s="15" t="inlineStr">
        <is>
          <t>30d, 1y, 5y</t>
        </is>
      </c>
      <c r="I11" s="15" t="inlineStr">
        <is>
          <t>5y</t>
        </is>
      </c>
    </row>
    <row r="12" ht="35.05" customHeight="1" s="11">
      <c r="A12" s="15" t="inlineStr">
        <is>
          <t>AF</t>
        </is>
      </c>
      <c r="B12" s="15" t="inlineStr">
        <is>
          <t>af</t>
        </is>
      </c>
      <c r="C12" s="15" t="inlineStr">
        <is>
          <t>Primary</t>
        </is>
      </c>
      <c r="D12" s="15" t="inlineStr">
        <is>
          <t>New-onset atrial fibrillation / flutter</t>
        </is>
      </c>
      <c r="E12" s="15" t="inlineStr">
        <is>
          <t>2023 ACC/AHA/ACCP/HRS AF Guideline: ECG-documented AF ≥30 s</t>
        </is>
      </c>
      <c r="F12" s="26" t="inlineStr">
        <is>
          <t>ICD-10-CM: I48.0, I48.11, I48.19, I48.20, I48.21, I48.3, I48.4, I48.91, I48.92 (plus I48.1, I48.2 used before Oct 2019)
ICD-9-CM: 427.31, 427.32
15 codes — full list: Candidate codes tab</t>
        </is>
      </c>
      <c r="G12" s="15" t="inlineStr">
        <is>
          <t>Confirmed new AF or flutter. Post-operative AF excluded (af_exclude_postoperative = true); patients with AF before index not eligible</t>
        </is>
      </c>
      <c r="H12" s="15" t="inlineStr">
        <is>
          <t>30d, 1y, 5y</t>
        </is>
      </c>
      <c r="I12" s="15" t="inlineStr">
        <is>
          <t>5y</t>
        </is>
      </c>
    </row>
  </sheetData>
  <autoFilter ref="A2:I12"/>
  <mergeCells count="1">
    <mergeCell ref="A1:I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H336"/>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4" customWidth="1" style="11" min="1" max="1"/>
    <col width="12" customWidth="1" style="11" min="2" max="2"/>
    <col width="10" customWidth="1" style="11" min="3" max="3"/>
    <col width="70" customWidth="1" style="11" min="4" max="4"/>
    <col width="26" customWidth="1" style="11" min="5" max="5"/>
    <col width="13" customWidth="1" style="11" min="6" max="6"/>
    <col width="9" customWidth="1" style="11" min="7" max="7"/>
    <col width="48" customWidth="1" style="11" min="8" max="8"/>
  </cols>
  <sheetData>
    <row r="1" ht="45" customHeight="1" s="11">
      <c r="A1" s="24" t="inlineStr">
        <is>
          <t>Every diagnosis code that creates a candidate outcome event (314 included, 20 deliberately excluded), with the official description. Source: ICD-10-CM April 2026 and ICD-9-CM v32 (CMS). Generated from training/codelists.py; the extraction matches these codes exactly. 'header' codes are not billable today but were in older years or appear as categories.</t>
        </is>
      </c>
    </row>
    <row r="2">
      <c r="A2" s="25" t="inlineStr">
        <is>
          <t>Outcome</t>
        </is>
      </c>
      <c r="B2" s="25" t="inlineStr">
        <is>
          <t>Vocabulary</t>
        </is>
      </c>
      <c r="C2" s="25" t="inlineStr">
        <is>
          <t>Code</t>
        </is>
      </c>
      <c r="D2" s="25" t="inlineStr">
        <is>
          <t>Description</t>
        </is>
      </c>
      <c r="E2" s="25" t="inlineStr">
        <is>
          <t>Status</t>
        </is>
      </c>
      <c r="F2" s="25" t="inlineStr">
        <is>
          <t>Subtype hint</t>
        </is>
      </c>
      <c r="G2" s="25" t="inlineStr">
        <is>
          <t>Included</t>
        </is>
      </c>
      <c r="H2" s="25" t="inlineStr">
        <is>
          <t>Reason excluded</t>
        </is>
      </c>
    </row>
    <row r="3">
      <c r="A3" s="19" t="inlineStr">
        <is>
          <t>AMI</t>
        </is>
      </c>
      <c r="B3" s="19" t="inlineStr">
        <is>
          <t>ICD10CM</t>
        </is>
      </c>
      <c r="C3" s="19" t="inlineStr">
        <is>
          <t>I21</t>
        </is>
      </c>
      <c r="D3" s="19" t="inlineStr">
        <is>
          <t>Acute myocardial infarction</t>
        </is>
      </c>
      <c r="E3" s="19" t="inlineStr">
        <is>
          <t>header (not billable in FY2026; may appear in older records)</t>
        </is>
      </c>
      <c r="F3" s="19" t="inlineStr"/>
      <c r="G3" s="19" t="inlineStr">
        <is>
          <t>yes</t>
        </is>
      </c>
      <c r="H3" s="19" t="inlineStr"/>
    </row>
    <row r="4">
      <c r="A4" s="19" t="inlineStr">
        <is>
          <t>AMI</t>
        </is>
      </c>
      <c r="B4" s="19" t="inlineStr">
        <is>
          <t>ICD10CM</t>
        </is>
      </c>
      <c r="C4" s="19" t="inlineStr">
        <is>
          <t>I21.0</t>
        </is>
      </c>
      <c r="D4" s="19" t="inlineStr">
        <is>
          <t>ST elevation (STEMI) myocardial infarction of anterior wall</t>
        </is>
      </c>
      <c r="E4" s="19" t="inlineStr">
        <is>
          <t>header (not billable in FY2026; may appear in older records)</t>
        </is>
      </c>
      <c r="F4" s="19" t="inlineStr">
        <is>
          <t>stemi</t>
        </is>
      </c>
      <c r="G4" s="19" t="inlineStr">
        <is>
          <t>yes</t>
        </is>
      </c>
      <c r="H4" s="19" t="inlineStr"/>
    </row>
    <row r="5">
      <c r="A5" s="19" t="inlineStr">
        <is>
          <t>AMI</t>
        </is>
      </c>
      <c r="B5" s="19" t="inlineStr">
        <is>
          <t>ICD10CM</t>
        </is>
      </c>
      <c r="C5" s="19" t="inlineStr">
        <is>
          <t>I21.01</t>
        </is>
      </c>
      <c r="D5" s="19" t="inlineStr">
        <is>
          <t>ST elevation (STEMI) myocardial infarction involving left main coronary artery</t>
        </is>
      </c>
      <c r="E5" s="19" t="inlineStr">
        <is>
          <t>billable</t>
        </is>
      </c>
      <c r="F5" s="19" t="inlineStr">
        <is>
          <t>stemi</t>
        </is>
      </c>
      <c r="G5" s="19" t="inlineStr">
        <is>
          <t>yes</t>
        </is>
      </c>
      <c r="H5" s="19" t="inlineStr"/>
    </row>
    <row r="6">
      <c r="A6" s="19" t="inlineStr">
        <is>
          <t>AMI</t>
        </is>
      </c>
      <c r="B6" s="19" t="inlineStr">
        <is>
          <t>ICD10CM</t>
        </is>
      </c>
      <c r="C6" s="19" t="inlineStr">
        <is>
          <t>I21.02</t>
        </is>
      </c>
      <c r="D6" s="19" t="inlineStr">
        <is>
          <t>ST elevation (STEMI) myocardial infarction involving left anterior descending coronary artery</t>
        </is>
      </c>
      <c r="E6" s="19" t="inlineStr">
        <is>
          <t>billable</t>
        </is>
      </c>
      <c r="F6" s="19" t="inlineStr">
        <is>
          <t>stemi</t>
        </is>
      </c>
      <c r="G6" s="19" t="inlineStr">
        <is>
          <t>yes</t>
        </is>
      </c>
      <c r="H6" s="19" t="inlineStr"/>
    </row>
    <row r="7">
      <c r="A7" s="19" t="inlineStr">
        <is>
          <t>AMI</t>
        </is>
      </c>
      <c r="B7" s="19" t="inlineStr">
        <is>
          <t>ICD10CM</t>
        </is>
      </c>
      <c r="C7" s="19" t="inlineStr">
        <is>
          <t>I21.09</t>
        </is>
      </c>
      <c r="D7" s="19" t="inlineStr">
        <is>
          <t>ST elevation (STEMI) myocardial infarction involving other coronary artery of anterior wall</t>
        </is>
      </c>
      <c r="E7" s="19" t="inlineStr">
        <is>
          <t>billable</t>
        </is>
      </c>
      <c r="F7" s="19" t="inlineStr">
        <is>
          <t>stemi</t>
        </is>
      </c>
      <c r="G7" s="19" t="inlineStr">
        <is>
          <t>yes</t>
        </is>
      </c>
      <c r="H7" s="19" t="inlineStr"/>
    </row>
    <row r="8">
      <c r="A8" s="19" t="inlineStr">
        <is>
          <t>AMI</t>
        </is>
      </c>
      <c r="B8" s="19" t="inlineStr">
        <is>
          <t>ICD10CM</t>
        </is>
      </c>
      <c r="C8" s="19" t="inlineStr">
        <is>
          <t>I21.1</t>
        </is>
      </c>
      <c r="D8" s="19" t="inlineStr">
        <is>
          <t>ST elevation (STEMI) myocardial infarction of inferior wall</t>
        </is>
      </c>
      <c r="E8" s="19" t="inlineStr">
        <is>
          <t>header (not billable in FY2026; may appear in older records)</t>
        </is>
      </c>
      <c r="F8" s="19" t="inlineStr">
        <is>
          <t>stemi</t>
        </is>
      </c>
      <c r="G8" s="19" t="inlineStr">
        <is>
          <t>yes</t>
        </is>
      </c>
      <c r="H8" s="19" t="inlineStr"/>
    </row>
    <row r="9">
      <c r="A9" s="19" t="inlineStr">
        <is>
          <t>AMI</t>
        </is>
      </c>
      <c r="B9" s="19" t="inlineStr">
        <is>
          <t>ICD10CM</t>
        </is>
      </c>
      <c r="C9" s="19" t="inlineStr">
        <is>
          <t>I21.11</t>
        </is>
      </c>
      <c r="D9" s="19" t="inlineStr">
        <is>
          <t>ST elevation (STEMI) myocardial infarction involving right coronary artery</t>
        </is>
      </c>
      <c r="E9" s="19" t="inlineStr">
        <is>
          <t>billable</t>
        </is>
      </c>
      <c r="F9" s="19" t="inlineStr">
        <is>
          <t>stemi</t>
        </is>
      </c>
      <c r="G9" s="19" t="inlineStr">
        <is>
          <t>yes</t>
        </is>
      </c>
      <c r="H9" s="19" t="inlineStr"/>
    </row>
    <row r="10">
      <c r="A10" s="19" t="inlineStr">
        <is>
          <t>AMI</t>
        </is>
      </c>
      <c r="B10" s="19" t="inlineStr">
        <is>
          <t>ICD10CM</t>
        </is>
      </c>
      <c r="C10" s="19" t="inlineStr">
        <is>
          <t>I21.19</t>
        </is>
      </c>
      <c r="D10" s="19" t="inlineStr">
        <is>
          <t>ST elevation (STEMI) myocardial infarction involving other coronary artery of inferior wall</t>
        </is>
      </c>
      <c r="E10" s="19" t="inlineStr">
        <is>
          <t>billable</t>
        </is>
      </c>
      <c r="F10" s="19" t="inlineStr">
        <is>
          <t>stemi</t>
        </is>
      </c>
      <c r="G10" s="19" t="inlineStr">
        <is>
          <t>yes</t>
        </is>
      </c>
      <c r="H10" s="19" t="inlineStr"/>
    </row>
    <row r="11">
      <c r="A11" s="19" t="inlineStr">
        <is>
          <t>AMI</t>
        </is>
      </c>
      <c r="B11" s="19" t="inlineStr">
        <is>
          <t>ICD10CM</t>
        </is>
      </c>
      <c r="C11" s="19" t="inlineStr">
        <is>
          <t>I21.2</t>
        </is>
      </c>
      <c r="D11" s="19" t="inlineStr">
        <is>
          <t>ST elevation (STEMI) myocardial infarction of other sites</t>
        </is>
      </c>
      <c r="E11" s="19" t="inlineStr">
        <is>
          <t>header (not billable in FY2026; may appear in older records)</t>
        </is>
      </c>
      <c r="F11" s="19" t="inlineStr">
        <is>
          <t>stemi</t>
        </is>
      </c>
      <c r="G11" s="19" t="inlineStr">
        <is>
          <t>yes</t>
        </is>
      </c>
      <c r="H11" s="19" t="inlineStr"/>
    </row>
    <row r="12">
      <c r="A12" s="19" t="inlineStr">
        <is>
          <t>AMI</t>
        </is>
      </c>
      <c r="B12" s="19" t="inlineStr">
        <is>
          <t>ICD10CM</t>
        </is>
      </c>
      <c r="C12" s="19" t="inlineStr">
        <is>
          <t>I21.21</t>
        </is>
      </c>
      <c r="D12" s="19" t="inlineStr">
        <is>
          <t>ST elevation (STEMI) myocardial infarction involving left circumflex coronary artery</t>
        </is>
      </c>
      <c r="E12" s="19" t="inlineStr">
        <is>
          <t>billable</t>
        </is>
      </c>
      <c r="F12" s="19" t="inlineStr">
        <is>
          <t>stemi</t>
        </is>
      </c>
      <c r="G12" s="19" t="inlineStr">
        <is>
          <t>yes</t>
        </is>
      </c>
      <c r="H12" s="19" t="inlineStr"/>
    </row>
    <row r="13">
      <c r="A13" s="19" t="inlineStr">
        <is>
          <t>AMI</t>
        </is>
      </c>
      <c r="B13" s="19" t="inlineStr">
        <is>
          <t>ICD10CM</t>
        </is>
      </c>
      <c r="C13" s="19" t="inlineStr">
        <is>
          <t>I21.29</t>
        </is>
      </c>
      <c r="D13" s="19" t="inlineStr">
        <is>
          <t>ST elevation (STEMI) myocardial infarction involving other sites</t>
        </is>
      </c>
      <c r="E13" s="19" t="inlineStr">
        <is>
          <t>billable</t>
        </is>
      </c>
      <c r="F13" s="19" t="inlineStr">
        <is>
          <t>stemi</t>
        </is>
      </c>
      <c r="G13" s="19" t="inlineStr">
        <is>
          <t>yes</t>
        </is>
      </c>
      <c r="H13" s="19" t="inlineStr"/>
    </row>
    <row r="14">
      <c r="A14" s="19" t="inlineStr">
        <is>
          <t>AMI</t>
        </is>
      </c>
      <c r="B14" s="19" t="inlineStr">
        <is>
          <t>ICD10CM</t>
        </is>
      </c>
      <c r="C14" s="19" t="inlineStr">
        <is>
          <t>I21.3</t>
        </is>
      </c>
      <c r="D14" s="19" t="inlineStr">
        <is>
          <t>ST elevation (STEMI) myocardial infarction of unspecified site</t>
        </is>
      </c>
      <c r="E14" s="19" t="inlineStr">
        <is>
          <t>billable</t>
        </is>
      </c>
      <c r="F14" s="19" t="inlineStr">
        <is>
          <t>stemi</t>
        </is>
      </c>
      <c r="G14" s="19" t="inlineStr">
        <is>
          <t>yes</t>
        </is>
      </c>
      <c r="H14" s="19" t="inlineStr"/>
    </row>
    <row r="15">
      <c r="A15" s="19" t="inlineStr">
        <is>
          <t>AMI</t>
        </is>
      </c>
      <c r="B15" s="19" t="inlineStr">
        <is>
          <t>ICD10CM</t>
        </is>
      </c>
      <c r="C15" s="19" t="inlineStr">
        <is>
          <t>I21.4</t>
        </is>
      </c>
      <c r="D15" s="19" t="inlineStr">
        <is>
          <t>Non-ST elevation (NSTEMI) myocardial infarction</t>
        </is>
      </c>
      <c r="E15" s="19" t="inlineStr">
        <is>
          <t>billable</t>
        </is>
      </c>
      <c r="F15" s="19" t="inlineStr">
        <is>
          <t>nstemi</t>
        </is>
      </c>
      <c r="G15" s="19" t="inlineStr">
        <is>
          <t>yes</t>
        </is>
      </c>
      <c r="H15" s="19" t="inlineStr"/>
    </row>
    <row r="16">
      <c r="A16" s="19" t="inlineStr">
        <is>
          <t>AMI</t>
        </is>
      </c>
      <c r="B16" s="19" t="inlineStr">
        <is>
          <t>ICD10CM</t>
        </is>
      </c>
      <c r="C16" s="19" t="inlineStr">
        <is>
          <t>I21.9</t>
        </is>
      </c>
      <c r="D16" s="19" t="inlineStr">
        <is>
          <t>Acute myocardial infarction, unspecified</t>
        </is>
      </c>
      <c r="E16" s="19" t="inlineStr">
        <is>
          <t>billable</t>
        </is>
      </c>
      <c r="F16" s="19" t="inlineStr">
        <is>
          <t>unspecified</t>
        </is>
      </c>
      <c r="G16" s="19" t="inlineStr">
        <is>
          <t>yes</t>
        </is>
      </c>
      <c r="H16" s="19" t="inlineStr"/>
    </row>
    <row r="17">
      <c r="A17" s="19" t="inlineStr">
        <is>
          <t>AMI</t>
        </is>
      </c>
      <c r="B17" s="19" t="inlineStr">
        <is>
          <t>ICD10CM</t>
        </is>
      </c>
      <c r="C17" s="19" t="inlineStr">
        <is>
          <t>I21.A</t>
        </is>
      </c>
      <c r="D17" s="19" t="inlineStr">
        <is>
          <t>Other type of myocardial infarction</t>
        </is>
      </c>
      <c r="E17" s="19" t="inlineStr">
        <is>
          <t>header (not billable in FY2026; may appear in older records)</t>
        </is>
      </c>
      <c r="F17" s="19" t="inlineStr"/>
      <c r="G17" s="19" t="inlineStr">
        <is>
          <t>yes</t>
        </is>
      </c>
      <c r="H17" s="19" t="inlineStr"/>
    </row>
    <row r="18">
      <c r="A18" s="19" t="inlineStr">
        <is>
          <t>AMI</t>
        </is>
      </c>
      <c r="B18" s="19" t="inlineStr">
        <is>
          <t>ICD10CM</t>
        </is>
      </c>
      <c r="C18" s="19" t="inlineStr">
        <is>
          <t>I21.A1</t>
        </is>
      </c>
      <c r="D18" s="19" t="inlineStr">
        <is>
          <t>Myocardial infarction type 2</t>
        </is>
      </c>
      <c r="E18" s="19" t="inlineStr">
        <is>
          <t>billable</t>
        </is>
      </c>
      <c r="F18" s="19" t="inlineStr">
        <is>
          <t>type2</t>
        </is>
      </c>
      <c r="G18" s="19" t="inlineStr">
        <is>
          <t>yes</t>
        </is>
      </c>
      <c r="H18" s="19" t="inlineStr"/>
    </row>
    <row r="19">
      <c r="A19" s="19" t="inlineStr">
        <is>
          <t>AMI</t>
        </is>
      </c>
      <c r="B19" s="19" t="inlineStr">
        <is>
          <t>ICD10CM</t>
        </is>
      </c>
      <c r="C19" s="19" t="inlineStr">
        <is>
          <t>I21.A9</t>
        </is>
      </c>
      <c r="D19" s="19" t="inlineStr">
        <is>
          <t>Other myocardial infarction type</t>
        </is>
      </c>
      <c r="E19" s="19" t="inlineStr">
        <is>
          <t>billable</t>
        </is>
      </c>
      <c r="F19" s="19" t="inlineStr">
        <is>
          <t>unspecified</t>
        </is>
      </c>
      <c r="G19" s="19" t="inlineStr">
        <is>
          <t>yes</t>
        </is>
      </c>
      <c r="H19" s="19" t="inlineStr"/>
    </row>
    <row r="20">
      <c r="A20" s="19" t="inlineStr">
        <is>
          <t>AMI</t>
        </is>
      </c>
      <c r="B20" s="19" t="inlineStr">
        <is>
          <t>ICD10CM</t>
        </is>
      </c>
      <c r="C20" s="19" t="inlineStr">
        <is>
          <t>I21.B</t>
        </is>
      </c>
      <c r="D20" s="19" t="inlineStr">
        <is>
          <t>Myocardial infarction with coronary microvascular dysfunction</t>
        </is>
      </c>
      <c r="E20" s="19" t="inlineStr">
        <is>
          <t>billable</t>
        </is>
      </c>
      <c r="F20" s="19" t="inlineStr">
        <is>
          <t>unspecified</t>
        </is>
      </c>
      <c r="G20" s="19" t="inlineStr">
        <is>
          <t>yes</t>
        </is>
      </c>
      <c r="H20" s="19" t="inlineStr"/>
    </row>
    <row r="21">
      <c r="A21" s="19" t="inlineStr">
        <is>
          <t>AMI</t>
        </is>
      </c>
      <c r="B21" s="19" t="inlineStr">
        <is>
          <t>ICD10CM</t>
        </is>
      </c>
      <c r="C21" s="19" t="inlineStr">
        <is>
          <t>I22</t>
        </is>
      </c>
      <c r="D21" s="19" t="inlineStr">
        <is>
          <t>Subsequent ST elevation (STEMI) and non-ST elevation (NSTEMI) myocardial infarction</t>
        </is>
      </c>
      <c r="E21" s="19" t="inlineStr">
        <is>
          <t>header (not billable in FY2026; may appear in older records)</t>
        </is>
      </c>
      <c r="F21" s="19" t="inlineStr"/>
      <c r="G21" s="19" t="inlineStr">
        <is>
          <t>yes</t>
        </is>
      </c>
      <c r="H21" s="19" t="inlineStr"/>
    </row>
    <row r="22">
      <c r="A22" s="19" t="inlineStr">
        <is>
          <t>AMI</t>
        </is>
      </c>
      <c r="B22" s="19" t="inlineStr">
        <is>
          <t>ICD10CM</t>
        </is>
      </c>
      <c r="C22" s="19" t="inlineStr">
        <is>
          <t>I22.0</t>
        </is>
      </c>
      <c r="D22" s="19" t="inlineStr">
        <is>
          <t>Subsequent ST elevation (STEMI) myocardial infarction of anterior wall</t>
        </is>
      </c>
      <c r="E22" s="19" t="inlineStr">
        <is>
          <t>billable</t>
        </is>
      </c>
      <c r="F22" s="19" t="inlineStr">
        <is>
          <t>stemi</t>
        </is>
      </c>
      <c r="G22" s="19" t="inlineStr">
        <is>
          <t>yes</t>
        </is>
      </c>
      <c r="H22" s="19" t="inlineStr"/>
    </row>
    <row r="23">
      <c r="A23" s="19" t="inlineStr">
        <is>
          <t>AMI</t>
        </is>
      </c>
      <c r="B23" s="19" t="inlineStr">
        <is>
          <t>ICD10CM</t>
        </is>
      </c>
      <c r="C23" s="19" t="inlineStr">
        <is>
          <t>I22.1</t>
        </is>
      </c>
      <c r="D23" s="19" t="inlineStr">
        <is>
          <t>Subsequent ST elevation (STEMI) myocardial infarction of inferior wall</t>
        </is>
      </c>
      <c r="E23" s="19" t="inlineStr">
        <is>
          <t>billable</t>
        </is>
      </c>
      <c r="F23" s="19" t="inlineStr">
        <is>
          <t>stemi</t>
        </is>
      </c>
      <c r="G23" s="19" t="inlineStr">
        <is>
          <t>yes</t>
        </is>
      </c>
      <c r="H23" s="19" t="inlineStr"/>
    </row>
    <row r="24">
      <c r="A24" s="19" t="inlineStr">
        <is>
          <t>AMI</t>
        </is>
      </c>
      <c r="B24" s="19" t="inlineStr">
        <is>
          <t>ICD10CM</t>
        </is>
      </c>
      <c r="C24" s="19" t="inlineStr">
        <is>
          <t>I22.2</t>
        </is>
      </c>
      <c r="D24" s="19" t="inlineStr">
        <is>
          <t>Subsequent non-ST elevation (NSTEMI) myocardial infarction</t>
        </is>
      </c>
      <c r="E24" s="19" t="inlineStr">
        <is>
          <t>billable</t>
        </is>
      </c>
      <c r="F24" s="19" t="inlineStr">
        <is>
          <t>nstemi</t>
        </is>
      </c>
      <c r="G24" s="19" t="inlineStr">
        <is>
          <t>yes</t>
        </is>
      </c>
      <c r="H24" s="19" t="inlineStr"/>
    </row>
    <row r="25">
      <c r="A25" s="19" t="inlineStr">
        <is>
          <t>AMI</t>
        </is>
      </c>
      <c r="B25" s="19" t="inlineStr">
        <is>
          <t>ICD10CM</t>
        </is>
      </c>
      <c r="C25" s="19" t="inlineStr">
        <is>
          <t>I22.8</t>
        </is>
      </c>
      <c r="D25" s="19" t="inlineStr">
        <is>
          <t>Subsequent ST elevation (STEMI) myocardial infarction of other sites</t>
        </is>
      </c>
      <c r="E25" s="19" t="inlineStr">
        <is>
          <t>billable</t>
        </is>
      </c>
      <c r="F25" s="19" t="inlineStr">
        <is>
          <t>stemi</t>
        </is>
      </c>
      <c r="G25" s="19" t="inlineStr">
        <is>
          <t>yes</t>
        </is>
      </c>
      <c r="H25" s="19" t="inlineStr"/>
    </row>
    <row r="26">
      <c r="A26" s="19" t="inlineStr">
        <is>
          <t>AMI</t>
        </is>
      </c>
      <c r="B26" s="19" t="inlineStr">
        <is>
          <t>ICD10CM</t>
        </is>
      </c>
      <c r="C26" s="19" t="inlineStr">
        <is>
          <t>I22.9</t>
        </is>
      </c>
      <c r="D26" s="19" t="inlineStr">
        <is>
          <t>Subsequent ST elevation (STEMI) myocardial infarction of unspecified site</t>
        </is>
      </c>
      <c r="E26" s="19" t="inlineStr">
        <is>
          <t>billable</t>
        </is>
      </c>
      <c r="F26" s="19" t="inlineStr">
        <is>
          <t>stemi</t>
        </is>
      </c>
      <c r="G26" s="19" t="inlineStr">
        <is>
          <t>yes</t>
        </is>
      </c>
      <c r="H26" s="19" t="inlineStr"/>
    </row>
    <row r="27">
      <c r="A27" s="19" t="inlineStr">
        <is>
          <t>AMI</t>
        </is>
      </c>
      <c r="B27" s="19" t="inlineStr">
        <is>
          <t>ICD9CM</t>
        </is>
      </c>
      <c r="C27" s="19" t="inlineStr">
        <is>
          <t>410.00</t>
        </is>
      </c>
      <c r="D27" s="19" t="inlineStr">
        <is>
          <t>Acute myocardial infarction of anterolateral wall, episode of care unspecified</t>
        </is>
      </c>
      <c r="E27" s="19" t="inlineStr">
        <is>
          <t>billable</t>
        </is>
      </c>
      <c r="F27" s="19" t="inlineStr">
        <is>
          <t>stemi</t>
        </is>
      </c>
      <c r="G27" s="19" t="inlineStr">
        <is>
          <t>yes</t>
        </is>
      </c>
      <c r="H27" s="19" t="inlineStr"/>
    </row>
    <row r="28">
      <c r="A28" s="19" t="inlineStr">
        <is>
          <t>AMI</t>
        </is>
      </c>
      <c r="B28" s="19" t="inlineStr">
        <is>
          <t>ICD9CM</t>
        </is>
      </c>
      <c r="C28" s="19" t="inlineStr">
        <is>
          <t>410.01</t>
        </is>
      </c>
      <c r="D28" s="19" t="inlineStr">
        <is>
          <t>Acute myocardial infarction of anterolateral wall, initial episode of care</t>
        </is>
      </c>
      <c r="E28" s="19" t="inlineStr">
        <is>
          <t>billable</t>
        </is>
      </c>
      <c r="F28" s="19" t="inlineStr">
        <is>
          <t>stemi</t>
        </is>
      </c>
      <c r="G28" s="19" t="inlineStr">
        <is>
          <t>yes</t>
        </is>
      </c>
      <c r="H28" s="19" t="inlineStr"/>
    </row>
    <row r="29">
      <c r="A29" s="27" t="inlineStr">
        <is>
          <t>AMI</t>
        </is>
      </c>
      <c r="B29" s="27" t="inlineStr">
        <is>
          <t>ICD9CM</t>
        </is>
      </c>
      <c r="C29" s="27" t="inlineStr">
        <is>
          <t>410.02</t>
        </is>
      </c>
      <c r="D29" s="27" t="inlineStr">
        <is>
          <t>Acute myocardial infarction of anterolateral wall, subsequent episode of care</t>
        </is>
      </c>
      <c r="E29" s="27" t="inlineStr">
        <is>
          <t>billable</t>
        </is>
      </c>
      <c r="F29" s="27" t="inlineStr">
        <is>
          <t>stemi</t>
        </is>
      </c>
      <c r="G29" s="27" t="inlineStr">
        <is>
          <t>no</t>
        </is>
      </c>
      <c r="H29" s="27" t="inlineStr">
        <is>
          <t>Subsequent episode of care (follow-up of an earlier MI, not a new event)</t>
        </is>
      </c>
    </row>
    <row r="30">
      <c r="A30" s="19" t="inlineStr">
        <is>
          <t>AMI</t>
        </is>
      </c>
      <c r="B30" s="19" t="inlineStr">
        <is>
          <t>ICD9CM</t>
        </is>
      </c>
      <c r="C30" s="19" t="inlineStr">
        <is>
          <t>410.10</t>
        </is>
      </c>
      <c r="D30" s="19" t="inlineStr">
        <is>
          <t>Acute myocardial infarction of other anterior wall, episode of care unspecified</t>
        </is>
      </c>
      <c r="E30" s="19" t="inlineStr">
        <is>
          <t>billable</t>
        </is>
      </c>
      <c r="F30" s="19" t="inlineStr">
        <is>
          <t>stemi</t>
        </is>
      </c>
      <c r="G30" s="19" t="inlineStr">
        <is>
          <t>yes</t>
        </is>
      </c>
      <c r="H30" s="19" t="inlineStr"/>
    </row>
    <row r="31">
      <c r="A31" s="19" t="inlineStr">
        <is>
          <t>AMI</t>
        </is>
      </c>
      <c r="B31" s="19" t="inlineStr">
        <is>
          <t>ICD9CM</t>
        </is>
      </c>
      <c r="C31" s="19" t="inlineStr">
        <is>
          <t>410.11</t>
        </is>
      </c>
      <c r="D31" s="19" t="inlineStr">
        <is>
          <t>Acute myocardial infarction of other anterior wall, initial episode of care</t>
        </is>
      </c>
      <c r="E31" s="19" t="inlineStr">
        <is>
          <t>billable</t>
        </is>
      </c>
      <c r="F31" s="19" t="inlineStr">
        <is>
          <t>stemi</t>
        </is>
      </c>
      <c r="G31" s="19" t="inlineStr">
        <is>
          <t>yes</t>
        </is>
      </c>
      <c r="H31" s="19" t="inlineStr"/>
    </row>
    <row r="32">
      <c r="A32" s="27" t="inlineStr">
        <is>
          <t>AMI</t>
        </is>
      </c>
      <c r="B32" s="27" t="inlineStr">
        <is>
          <t>ICD9CM</t>
        </is>
      </c>
      <c r="C32" s="27" t="inlineStr">
        <is>
          <t>410.12</t>
        </is>
      </c>
      <c r="D32" s="27" t="inlineStr">
        <is>
          <t>Acute myocardial infarction of other anterior wall, subsequent episode of care</t>
        </is>
      </c>
      <c r="E32" s="27" t="inlineStr">
        <is>
          <t>billable</t>
        </is>
      </c>
      <c r="F32" s="27" t="inlineStr">
        <is>
          <t>stemi</t>
        </is>
      </c>
      <c r="G32" s="27" t="inlineStr">
        <is>
          <t>no</t>
        </is>
      </c>
      <c r="H32" s="27" t="inlineStr">
        <is>
          <t>Subsequent episode of care (follow-up of an earlier MI, not a new event)</t>
        </is>
      </c>
    </row>
    <row r="33">
      <c r="A33" s="19" t="inlineStr">
        <is>
          <t>AMI</t>
        </is>
      </c>
      <c r="B33" s="19" t="inlineStr">
        <is>
          <t>ICD9CM</t>
        </is>
      </c>
      <c r="C33" s="19" t="inlineStr">
        <is>
          <t>410.20</t>
        </is>
      </c>
      <c r="D33" s="19" t="inlineStr">
        <is>
          <t>Acute myocardial infarction of inferolateral wall, episode of care unspecified</t>
        </is>
      </c>
      <c r="E33" s="19" t="inlineStr">
        <is>
          <t>billable</t>
        </is>
      </c>
      <c r="F33" s="19" t="inlineStr">
        <is>
          <t>stemi</t>
        </is>
      </c>
      <c r="G33" s="19" t="inlineStr">
        <is>
          <t>yes</t>
        </is>
      </c>
      <c r="H33" s="19" t="inlineStr"/>
    </row>
    <row r="34">
      <c r="A34" s="19" t="inlineStr">
        <is>
          <t>AMI</t>
        </is>
      </c>
      <c r="B34" s="19" t="inlineStr">
        <is>
          <t>ICD9CM</t>
        </is>
      </c>
      <c r="C34" s="19" t="inlineStr">
        <is>
          <t>410.21</t>
        </is>
      </c>
      <c r="D34" s="19" t="inlineStr">
        <is>
          <t>Acute myocardial infarction of inferolateral wall, initial episode of care</t>
        </is>
      </c>
      <c r="E34" s="19" t="inlineStr">
        <is>
          <t>billable</t>
        </is>
      </c>
      <c r="F34" s="19" t="inlineStr">
        <is>
          <t>stemi</t>
        </is>
      </c>
      <c r="G34" s="19" t="inlineStr">
        <is>
          <t>yes</t>
        </is>
      </c>
      <c r="H34" s="19" t="inlineStr"/>
    </row>
    <row r="35">
      <c r="A35" s="27" t="inlineStr">
        <is>
          <t>AMI</t>
        </is>
      </c>
      <c r="B35" s="27" t="inlineStr">
        <is>
          <t>ICD9CM</t>
        </is>
      </c>
      <c r="C35" s="27" t="inlineStr">
        <is>
          <t>410.22</t>
        </is>
      </c>
      <c r="D35" s="27" t="inlineStr">
        <is>
          <t>Acute myocardial infarction of inferolateral wall, subsequent episode of care</t>
        </is>
      </c>
      <c r="E35" s="27" t="inlineStr">
        <is>
          <t>billable</t>
        </is>
      </c>
      <c r="F35" s="27" t="inlineStr">
        <is>
          <t>stemi</t>
        </is>
      </c>
      <c r="G35" s="27" t="inlineStr">
        <is>
          <t>no</t>
        </is>
      </c>
      <c r="H35" s="27" t="inlineStr">
        <is>
          <t>Subsequent episode of care (follow-up of an earlier MI, not a new event)</t>
        </is>
      </c>
    </row>
    <row r="36">
      <c r="A36" s="19" t="inlineStr">
        <is>
          <t>AMI</t>
        </is>
      </c>
      <c r="B36" s="19" t="inlineStr">
        <is>
          <t>ICD9CM</t>
        </is>
      </c>
      <c r="C36" s="19" t="inlineStr">
        <is>
          <t>410.30</t>
        </is>
      </c>
      <c r="D36" s="19" t="inlineStr">
        <is>
          <t>Acute myocardial infarction of inferoposterior wall, episode of care unspecified</t>
        </is>
      </c>
      <c r="E36" s="19" t="inlineStr">
        <is>
          <t>billable</t>
        </is>
      </c>
      <c r="F36" s="19" t="inlineStr">
        <is>
          <t>stemi</t>
        </is>
      </c>
      <c r="G36" s="19" t="inlineStr">
        <is>
          <t>yes</t>
        </is>
      </c>
      <c r="H36" s="19" t="inlineStr"/>
    </row>
    <row r="37">
      <c r="A37" s="19" t="inlineStr">
        <is>
          <t>AMI</t>
        </is>
      </c>
      <c r="B37" s="19" t="inlineStr">
        <is>
          <t>ICD9CM</t>
        </is>
      </c>
      <c r="C37" s="19" t="inlineStr">
        <is>
          <t>410.31</t>
        </is>
      </c>
      <c r="D37" s="19" t="inlineStr">
        <is>
          <t>Acute myocardial infarction of inferoposterior wall, initial episode of care</t>
        </is>
      </c>
      <c r="E37" s="19" t="inlineStr">
        <is>
          <t>billable</t>
        </is>
      </c>
      <c r="F37" s="19" t="inlineStr">
        <is>
          <t>stemi</t>
        </is>
      </c>
      <c r="G37" s="19" t="inlineStr">
        <is>
          <t>yes</t>
        </is>
      </c>
      <c r="H37" s="19" t="inlineStr"/>
    </row>
    <row r="38">
      <c r="A38" s="27" t="inlineStr">
        <is>
          <t>AMI</t>
        </is>
      </c>
      <c r="B38" s="27" t="inlineStr">
        <is>
          <t>ICD9CM</t>
        </is>
      </c>
      <c r="C38" s="27" t="inlineStr">
        <is>
          <t>410.32</t>
        </is>
      </c>
      <c r="D38" s="27" t="inlineStr">
        <is>
          <t>Acute myocardial infarction of inferoposterior wall, subsequent episode of care</t>
        </is>
      </c>
      <c r="E38" s="27" t="inlineStr">
        <is>
          <t>billable</t>
        </is>
      </c>
      <c r="F38" s="27" t="inlineStr">
        <is>
          <t>stemi</t>
        </is>
      </c>
      <c r="G38" s="27" t="inlineStr">
        <is>
          <t>no</t>
        </is>
      </c>
      <c r="H38" s="27" t="inlineStr">
        <is>
          <t>Subsequent episode of care (follow-up of an earlier MI, not a new event)</t>
        </is>
      </c>
    </row>
    <row r="39">
      <c r="A39" s="19" t="inlineStr">
        <is>
          <t>AMI</t>
        </is>
      </c>
      <c r="B39" s="19" t="inlineStr">
        <is>
          <t>ICD9CM</t>
        </is>
      </c>
      <c r="C39" s="19" t="inlineStr">
        <is>
          <t>410.40</t>
        </is>
      </c>
      <c r="D39" s="19" t="inlineStr">
        <is>
          <t>Acute myocardial infarction of other inferior wall, episode of care unspecified</t>
        </is>
      </c>
      <c r="E39" s="19" t="inlineStr">
        <is>
          <t>billable</t>
        </is>
      </c>
      <c r="F39" s="19" t="inlineStr">
        <is>
          <t>stemi</t>
        </is>
      </c>
      <c r="G39" s="19" t="inlineStr">
        <is>
          <t>yes</t>
        </is>
      </c>
      <c r="H39" s="19" t="inlineStr"/>
    </row>
    <row r="40">
      <c r="A40" s="19" t="inlineStr">
        <is>
          <t>AMI</t>
        </is>
      </c>
      <c r="B40" s="19" t="inlineStr">
        <is>
          <t>ICD9CM</t>
        </is>
      </c>
      <c r="C40" s="19" t="inlineStr">
        <is>
          <t>410.41</t>
        </is>
      </c>
      <c r="D40" s="19" t="inlineStr">
        <is>
          <t>Acute myocardial infarction of other inferior wall, initial episode of care</t>
        </is>
      </c>
      <c r="E40" s="19" t="inlineStr">
        <is>
          <t>billable</t>
        </is>
      </c>
      <c r="F40" s="19" t="inlineStr">
        <is>
          <t>stemi</t>
        </is>
      </c>
      <c r="G40" s="19" t="inlineStr">
        <is>
          <t>yes</t>
        </is>
      </c>
      <c r="H40" s="19" t="inlineStr"/>
    </row>
    <row r="41">
      <c r="A41" s="27" t="inlineStr">
        <is>
          <t>AMI</t>
        </is>
      </c>
      <c r="B41" s="27" t="inlineStr">
        <is>
          <t>ICD9CM</t>
        </is>
      </c>
      <c r="C41" s="27" t="inlineStr">
        <is>
          <t>410.42</t>
        </is>
      </c>
      <c r="D41" s="27" t="inlineStr">
        <is>
          <t>Acute myocardial infarction of other inferior wall, subsequent episode of care</t>
        </is>
      </c>
      <c r="E41" s="27" t="inlineStr">
        <is>
          <t>billable</t>
        </is>
      </c>
      <c r="F41" s="27" t="inlineStr">
        <is>
          <t>stemi</t>
        </is>
      </c>
      <c r="G41" s="27" t="inlineStr">
        <is>
          <t>no</t>
        </is>
      </c>
      <c r="H41" s="27" t="inlineStr">
        <is>
          <t>Subsequent episode of care (follow-up of an earlier MI, not a new event)</t>
        </is>
      </c>
    </row>
    <row r="42">
      <c r="A42" s="19" t="inlineStr">
        <is>
          <t>AMI</t>
        </is>
      </c>
      <c r="B42" s="19" t="inlineStr">
        <is>
          <t>ICD9CM</t>
        </is>
      </c>
      <c r="C42" s="19" t="inlineStr">
        <is>
          <t>410.50</t>
        </is>
      </c>
      <c r="D42" s="19" t="inlineStr">
        <is>
          <t>Acute myocardial infarction of other lateral wall, episode of care unspecified</t>
        </is>
      </c>
      <c r="E42" s="19" t="inlineStr">
        <is>
          <t>billable</t>
        </is>
      </c>
      <c r="F42" s="19" t="inlineStr">
        <is>
          <t>stemi</t>
        </is>
      </c>
      <c r="G42" s="19" t="inlineStr">
        <is>
          <t>yes</t>
        </is>
      </c>
      <c r="H42" s="19" t="inlineStr"/>
    </row>
    <row r="43">
      <c r="A43" s="19" t="inlineStr">
        <is>
          <t>AMI</t>
        </is>
      </c>
      <c r="B43" s="19" t="inlineStr">
        <is>
          <t>ICD9CM</t>
        </is>
      </c>
      <c r="C43" s="19" t="inlineStr">
        <is>
          <t>410.51</t>
        </is>
      </c>
      <c r="D43" s="19" t="inlineStr">
        <is>
          <t>Acute myocardial infarction of other lateral wall, initial episode of care</t>
        </is>
      </c>
      <c r="E43" s="19" t="inlineStr">
        <is>
          <t>billable</t>
        </is>
      </c>
      <c r="F43" s="19" t="inlineStr">
        <is>
          <t>stemi</t>
        </is>
      </c>
      <c r="G43" s="19" t="inlineStr">
        <is>
          <t>yes</t>
        </is>
      </c>
      <c r="H43" s="19" t="inlineStr"/>
    </row>
    <row r="44">
      <c r="A44" s="27" t="inlineStr">
        <is>
          <t>AMI</t>
        </is>
      </c>
      <c r="B44" s="27" t="inlineStr">
        <is>
          <t>ICD9CM</t>
        </is>
      </c>
      <c r="C44" s="27" t="inlineStr">
        <is>
          <t>410.52</t>
        </is>
      </c>
      <c r="D44" s="27" t="inlineStr">
        <is>
          <t>Acute myocardial infarction of other lateral wall, subsequent episode of care</t>
        </is>
      </c>
      <c r="E44" s="27" t="inlineStr">
        <is>
          <t>billable</t>
        </is>
      </c>
      <c r="F44" s="27" t="inlineStr">
        <is>
          <t>stemi</t>
        </is>
      </c>
      <c r="G44" s="27" t="inlineStr">
        <is>
          <t>no</t>
        </is>
      </c>
      <c r="H44" s="27" t="inlineStr">
        <is>
          <t>Subsequent episode of care (follow-up of an earlier MI, not a new event)</t>
        </is>
      </c>
    </row>
    <row r="45">
      <c r="A45" s="19" t="inlineStr">
        <is>
          <t>AMI</t>
        </is>
      </c>
      <c r="B45" s="19" t="inlineStr">
        <is>
          <t>ICD9CM</t>
        </is>
      </c>
      <c r="C45" s="19" t="inlineStr">
        <is>
          <t>410.60</t>
        </is>
      </c>
      <c r="D45" s="19" t="inlineStr">
        <is>
          <t>True posterior wall infarction, episode of care unspecified</t>
        </is>
      </c>
      <c r="E45" s="19" t="inlineStr">
        <is>
          <t>billable</t>
        </is>
      </c>
      <c r="F45" s="19" t="inlineStr">
        <is>
          <t>stemi</t>
        </is>
      </c>
      <c r="G45" s="19" t="inlineStr">
        <is>
          <t>yes</t>
        </is>
      </c>
      <c r="H45" s="19" t="inlineStr"/>
    </row>
    <row r="46">
      <c r="A46" s="19" t="inlineStr">
        <is>
          <t>AMI</t>
        </is>
      </c>
      <c r="B46" s="19" t="inlineStr">
        <is>
          <t>ICD9CM</t>
        </is>
      </c>
      <c r="C46" s="19" t="inlineStr">
        <is>
          <t>410.61</t>
        </is>
      </c>
      <c r="D46" s="19" t="inlineStr">
        <is>
          <t>True posterior wall infarction, initial episode of care</t>
        </is>
      </c>
      <c r="E46" s="19" t="inlineStr">
        <is>
          <t>billable</t>
        </is>
      </c>
      <c r="F46" s="19" t="inlineStr">
        <is>
          <t>stemi</t>
        </is>
      </c>
      <c r="G46" s="19" t="inlineStr">
        <is>
          <t>yes</t>
        </is>
      </c>
      <c r="H46" s="19" t="inlineStr"/>
    </row>
    <row r="47">
      <c r="A47" s="27" t="inlineStr">
        <is>
          <t>AMI</t>
        </is>
      </c>
      <c r="B47" s="27" t="inlineStr">
        <is>
          <t>ICD9CM</t>
        </is>
      </c>
      <c r="C47" s="27" t="inlineStr">
        <is>
          <t>410.62</t>
        </is>
      </c>
      <c r="D47" s="27" t="inlineStr">
        <is>
          <t>True posterior wall infarction, subsequent episode of care</t>
        </is>
      </c>
      <c r="E47" s="27" t="inlineStr">
        <is>
          <t>billable</t>
        </is>
      </c>
      <c r="F47" s="27" t="inlineStr">
        <is>
          <t>stemi</t>
        </is>
      </c>
      <c r="G47" s="27" t="inlineStr">
        <is>
          <t>no</t>
        </is>
      </c>
      <c r="H47" s="27" t="inlineStr">
        <is>
          <t>Subsequent episode of care (follow-up of an earlier MI, not a new event)</t>
        </is>
      </c>
    </row>
    <row r="48">
      <c r="A48" s="19" t="inlineStr">
        <is>
          <t>AMI</t>
        </is>
      </c>
      <c r="B48" s="19" t="inlineStr">
        <is>
          <t>ICD9CM</t>
        </is>
      </c>
      <c r="C48" s="19" t="inlineStr">
        <is>
          <t>410.70</t>
        </is>
      </c>
      <c r="D48" s="19" t="inlineStr">
        <is>
          <t>Subendocardial infarction, episode of care unspecified</t>
        </is>
      </c>
      <c r="E48" s="19" t="inlineStr">
        <is>
          <t>billable</t>
        </is>
      </c>
      <c r="F48" s="19" t="inlineStr">
        <is>
          <t>nstemi</t>
        </is>
      </c>
      <c r="G48" s="19" t="inlineStr">
        <is>
          <t>yes</t>
        </is>
      </c>
      <c r="H48" s="19" t="inlineStr"/>
    </row>
    <row r="49">
      <c r="A49" s="19" t="inlineStr">
        <is>
          <t>AMI</t>
        </is>
      </c>
      <c r="B49" s="19" t="inlineStr">
        <is>
          <t>ICD9CM</t>
        </is>
      </c>
      <c r="C49" s="19" t="inlineStr">
        <is>
          <t>410.71</t>
        </is>
      </c>
      <c r="D49" s="19" t="inlineStr">
        <is>
          <t>Subendocardial infarction, initial episode of care</t>
        </is>
      </c>
      <c r="E49" s="19" t="inlineStr">
        <is>
          <t>billable</t>
        </is>
      </c>
      <c r="F49" s="19" t="inlineStr">
        <is>
          <t>nstemi</t>
        </is>
      </c>
      <c r="G49" s="19" t="inlineStr">
        <is>
          <t>yes</t>
        </is>
      </c>
      <c r="H49" s="19" t="inlineStr"/>
    </row>
    <row r="50">
      <c r="A50" s="27" t="inlineStr">
        <is>
          <t>AMI</t>
        </is>
      </c>
      <c r="B50" s="27" t="inlineStr">
        <is>
          <t>ICD9CM</t>
        </is>
      </c>
      <c r="C50" s="27" t="inlineStr">
        <is>
          <t>410.72</t>
        </is>
      </c>
      <c r="D50" s="27" t="inlineStr">
        <is>
          <t>Subendocardial infarction, subsequent episode of care</t>
        </is>
      </c>
      <c r="E50" s="27" t="inlineStr">
        <is>
          <t>billable</t>
        </is>
      </c>
      <c r="F50" s="27" t="inlineStr">
        <is>
          <t>nstemi</t>
        </is>
      </c>
      <c r="G50" s="27" t="inlineStr">
        <is>
          <t>no</t>
        </is>
      </c>
      <c r="H50" s="27" t="inlineStr">
        <is>
          <t>Subsequent episode of care (follow-up of an earlier MI, not a new event)</t>
        </is>
      </c>
    </row>
    <row r="51">
      <c r="A51" s="19" t="inlineStr">
        <is>
          <t>AMI</t>
        </is>
      </c>
      <c r="B51" s="19" t="inlineStr">
        <is>
          <t>ICD9CM</t>
        </is>
      </c>
      <c r="C51" s="19" t="inlineStr">
        <is>
          <t>410.80</t>
        </is>
      </c>
      <c r="D51" s="19" t="inlineStr">
        <is>
          <t>Acute myocardial infarction of other specified sites, episode of care unspecified</t>
        </is>
      </c>
      <c r="E51" s="19" t="inlineStr">
        <is>
          <t>billable</t>
        </is>
      </c>
      <c r="F51" s="19" t="inlineStr">
        <is>
          <t>stemi</t>
        </is>
      </c>
      <c r="G51" s="19" t="inlineStr">
        <is>
          <t>yes</t>
        </is>
      </c>
      <c r="H51" s="19" t="inlineStr"/>
    </row>
    <row r="52">
      <c r="A52" s="19" t="inlineStr">
        <is>
          <t>AMI</t>
        </is>
      </c>
      <c r="B52" s="19" t="inlineStr">
        <is>
          <t>ICD9CM</t>
        </is>
      </c>
      <c r="C52" s="19" t="inlineStr">
        <is>
          <t>410.81</t>
        </is>
      </c>
      <c r="D52" s="19" t="inlineStr">
        <is>
          <t>Acute myocardial infarction of other specified sites, initial episode of care</t>
        </is>
      </c>
      <c r="E52" s="19" t="inlineStr">
        <is>
          <t>billable</t>
        </is>
      </c>
      <c r="F52" s="19" t="inlineStr">
        <is>
          <t>stemi</t>
        </is>
      </c>
      <c r="G52" s="19" t="inlineStr">
        <is>
          <t>yes</t>
        </is>
      </c>
      <c r="H52" s="19" t="inlineStr"/>
    </row>
    <row r="53">
      <c r="A53" s="27" t="inlineStr">
        <is>
          <t>AMI</t>
        </is>
      </c>
      <c r="B53" s="27" t="inlineStr">
        <is>
          <t>ICD9CM</t>
        </is>
      </c>
      <c r="C53" s="27" t="inlineStr">
        <is>
          <t>410.82</t>
        </is>
      </c>
      <c r="D53" s="27" t="inlineStr">
        <is>
          <t>Acute myocardial infarction of other specified sites, subsequent episode of care</t>
        </is>
      </c>
      <c r="E53" s="27" t="inlineStr">
        <is>
          <t>billable</t>
        </is>
      </c>
      <c r="F53" s="27" t="inlineStr">
        <is>
          <t>stemi</t>
        </is>
      </c>
      <c r="G53" s="27" t="inlineStr">
        <is>
          <t>no</t>
        </is>
      </c>
      <c r="H53" s="27" t="inlineStr">
        <is>
          <t>Subsequent episode of care (follow-up of an earlier MI, not a new event)</t>
        </is>
      </c>
    </row>
    <row r="54">
      <c r="A54" s="19" t="inlineStr">
        <is>
          <t>AMI</t>
        </is>
      </c>
      <c r="B54" s="19" t="inlineStr">
        <is>
          <t>ICD9CM</t>
        </is>
      </c>
      <c r="C54" s="19" t="inlineStr">
        <is>
          <t>410.90</t>
        </is>
      </c>
      <c r="D54" s="19" t="inlineStr">
        <is>
          <t>Acute myocardial infarction of unspecified site, episode of care unspecified</t>
        </is>
      </c>
      <c r="E54" s="19" t="inlineStr">
        <is>
          <t>billable</t>
        </is>
      </c>
      <c r="F54" s="19" t="inlineStr">
        <is>
          <t>unspecified</t>
        </is>
      </c>
      <c r="G54" s="19" t="inlineStr">
        <is>
          <t>yes</t>
        </is>
      </c>
      <c r="H54" s="19" t="inlineStr"/>
    </row>
    <row r="55">
      <c r="A55" s="19" t="inlineStr">
        <is>
          <t>AMI</t>
        </is>
      </c>
      <c r="B55" s="19" t="inlineStr">
        <is>
          <t>ICD9CM</t>
        </is>
      </c>
      <c r="C55" s="19" t="inlineStr">
        <is>
          <t>410.91</t>
        </is>
      </c>
      <c r="D55" s="19" t="inlineStr">
        <is>
          <t>Acute myocardial infarction of unspecified site, initial episode of care</t>
        </is>
      </c>
      <c r="E55" s="19" t="inlineStr">
        <is>
          <t>billable</t>
        </is>
      </c>
      <c r="F55" s="19" t="inlineStr">
        <is>
          <t>unspecified</t>
        </is>
      </c>
      <c r="G55" s="19" t="inlineStr">
        <is>
          <t>yes</t>
        </is>
      </c>
      <c r="H55" s="19" t="inlineStr"/>
    </row>
    <row r="56">
      <c r="A56" s="27" t="inlineStr">
        <is>
          <t>AMI</t>
        </is>
      </c>
      <c r="B56" s="27" t="inlineStr">
        <is>
          <t>ICD9CM</t>
        </is>
      </c>
      <c r="C56" s="27" t="inlineStr">
        <is>
          <t>410.92</t>
        </is>
      </c>
      <c r="D56" s="27" t="inlineStr">
        <is>
          <t>Acute myocardial infarction of unspecified site, subsequent episode of care</t>
        </is>
      </c>
      <c r="E56" s="27" t="inlineStr">
        <is>
          <t>billable</t>
        </is>
      </c>
      <c r="F56" s="27" t="inlineStr">
        <is>
          <t>unspecified</t>
        </is>
      </c>
      <c r="G56" s="27" t="inlineStr">
        <is>
          <t>no</t>
        </is>
      </c>
      <c r="H56" s="27" t="inlineStr">
        <is>
          <t>Subsequent episode of care (follow-up of an earlier MI, not a new event)</t>
        </is>
      </c>
    </row>
    <row r="57">
      <c r="A57" s="19" t="inlineStr">
        <is>
          <t>Stroke / TIA</t>
        </is>
      </c>
      <c r="B57" s="19" t="inlineStr">
        <is>
          <t>ICD10CM</t>
        </is>
      </c>
      <c r="C57" s="19" t="inlineStr">
        <is>
          <t>G45</t>
        </is>
      </c>
      <c r="D57" s="19" t="inlineStr">
        <is>
          <t>Transient cerebral ischemic attacks and related syndromes</t>
        </is>
      </c>
      <c r="E57" s="19" t="inlineStr">
        <is>
          <t>header (not billable in FY2026; may appear in older records)</t>
        </is>
      </c>
      <c r="F57" s="19" t="inlineStr">
        <is>
          <t>tia</t>
        </is>
      </c>
      <c r="G57" s="19" t="inlineStr">
        <is>
          <t>yes</t>
        </is>
      </c>
      <c r="H57" s="19" t="inlineStr"/>
    </row>
    <row r="58">
      <c r="A58" s="19" t="inlineStr">
        <is>
          <t>Stroke / TIA</t>
        </is>
      </c>
      <c r="B58" s="19" t="inlineStr">
        <is>
          <t>ICD10CM</t>
        </is>
      </c>
      <c r="C58" s="19" t="inlineStr">
        <is>
          <t>G45.0</t>
        </is>
      </c>
      <c r="D58" s="19" t="inlineStr">
        <is>
          <t>Vertebro-basilar artery syndrome</t>
        </is>
      </c>
      <c r="E58" s="19" t="inlineStr">
        <is>
          <t>billable</t>
        </is>
      </c>
      <c r="F58" s="19" t="inlineStr">
        <is>
          <t>tia</t>
        </is>
      </c>
      <c r="G58" s="19" t="inlineStr">
        <is>
          <t>yes</t>
        </is>
      </c>
      <c r="H58" s="19" t="inlineStr"/>
    </row>
    <row r="59">
      <c r="A59" s="19" t="inlineStr">
        <is>
          <t>Stroke / TIA</t>
        </is>
      </c>
      <c r="B59" s="19" t="inlineStr">
        <is>
          <t>ICD10CM</t>
        </is>
      </c>
      <c r="C59" s="19" t="inlineStr">
        <is>
          <t>G45.1</t>
        </is>
      </c>
      <c r="D59" s="19" t="inlineStr">
        <is>
          <t>Carotid artery syndrome (hemispheric)</t>
        </is>
      </c>
      <c r="E59" s="19" t="inlineStr">
        <is>
          <t>billable</t>
        </is>
      </c>
      <c r="F59" s="19" t="inlineStr">
        <is>
          <t>tia</t>
        </is>
      </c>
      <c r="G59" s="19" t="inlineStr">
        <is>
          <t>yes</t>
        </is>
      </c>
      <c r="H59" s="19" t="inlineStr"/>
    </row>
    <row r="60">
      <c r="A60" s="19" t="inlineStr">
        <is>
          <t>Stroke / TIA</t>
        </is>
      </c>
      <c r="B60" s="19" t="inlineStr">
        <is>
          <t>ICD10CM</t>
        </is>
      </c>
      <c r="C60" s="19" t="inlineStr">
        <is>
          <t>G45.2</t>
        </is>
      </c>
      <c r="D60" s="19" t="inlineStr">
        <is>
          <t>Multiple and bilateral precerebral artery syndromes</t>
        </is>
      </c>
      <c r="E60" s="19" t="inlineStr">
        <is>
          <t>billable</t>
        </is>
      </c>
      <c r="F60" s="19" t="inlineStr">
        <is>
          <t>tia</t>
        </is>
      </c>
      <c r="G60" s="19" t="inlineStr">
        <is>
          <t>yes</t>
        </is>
      </c>
      <c r="H60" s="19" t="inlineStr"/>
    </row>
    <row r="61">
      <c r="A61" s="19" t="inlineStr">
        <is>
          <t>Stroke / TIA</t>
        </is>
      </c>
      <c r="B61" s="19" t="inlineStr">
        <is>
          <t>ICD10CM</t>
        </is>
      </c>
      <c r="C61" s="19" t="inlineStr">
        <is>
          <t>G45.3</t>
        </is>
      </c>
      <c r="D61" s="19" t="inlineStr">
        <is>
          <t>Amaurosis fugax</t>
        </is>
      </c>
      <c r="E61" s="19" t="inlineStr">
        <is>
          <t>billable</t>
        </is>
      </c>
      <c r="F61" s="19" t="inlineStr">
        <is>
          <t>tia</t>
        </is>
      </c>
      <c r="G61" s="19" t="inlineStr">
        <is>
          <t>yes</t>
        </is>
      </c>
      <c r="H61" s="19" t="inlineStr"/>
    </row>
    <row r="62">
      <c r="A62" s="27" t="inlineStr">
        <is>
          <t>Stroke / TIA</t>
        </is>
      </c>
      <c r="B62" s="27" t="inlineStr">
        <is>
          <t>ICD10CM</t>
        </is>
      </c>
      <c r="C62" s="27" t="inlineStr">
        <is>
          <t>G45.4</t>
        </is>
      </c>
      <c r="D62" s="27" t="inlineStr">
        <is>
          <t>Transient global amnesia</t>
        </is>
      </c>
      <c r="E62" s="27" t="inlineStr">
        <is>
          <t>billable</t>
        </is>
      </c>
      <c r="F62" s="27" t="inlineStr">
        <is>
          <t>tia</t>
        </is>
      </c>
      <c r="G62" s="27" t="inlineStr">
        <is>
          <t>no</t>
        </is>
      </c>
      <c r="H62" s="27" t="inlineStr">
        <is>
          <t>Transient global amnesia: not cerebral ischemia</t>
        </is>
      </c>
    </row>
    <row r="63">
      <c r="A63" s="19" t="inlineStr">
        <is>
          <t>Stroke / TIA</t>
        </is>
      </c>
      <c r="B63" s="19" t="inlineStr">
        <is>
          <t>ICD10CM</t>
        </is>
      </c>
      <c r="C63" s="19" t="inlineStr">
        <is>
          <t>G45.8</t>
        </is>
      </c>
      <c r="D63" s="19" t="inlineStr">
        <is>
          <t>Other transient cerebral ischemic attacks and related syndromes</t>
        </is>
      </c>
      <c r="E63" s="19" t="inlineStr">
        <is>
          <t>billable</t>
        </is>
      </c>
      <c r="F63" s="19" t="inlineStr">
        <is>
          <t>tia</t>
        </is>
      </c>
      <c r="G63" s="19" t="inlineStr">
        <is>
          <t>yes</t>
        </is>
      </c>
      <c r="H63" s="19" t="inlineStr"/>
    </row>
    <row r="64">
      <c r="A64" s="19" t="inlineStr">
        <is>
          <t>Stroke / TIA</t>
        </is>
      </c>
      <c r="B64" s="19" t="inlineStr">
        <is>
          <t>ICD10CM</t>
        </is>
      </c>
      <c r="C64" s="19" t="inlineStr">
        <is>
          <t>G45.9</t>
        </is>
      </c>
      <c r="D64" s="19" t="inlineStr">
        <is>
          <t>Transient cerebral ischemic attack, unspecified</t>
        </is>
      </c>
      <c r="E64" s="19" t="inlineStr">
        <is>
          <t>billable</t>
        </is>
      </c>
      <c r="F64" s="19" t="inlineStr">
        <is>
          <t>tia</t>
        </is>
      </c>
      <c r="G64" s="19" t="inlineStr">
        <is>
          <t>yes</t>
        </is>
      </c>
      <c r="H64" s="19" t="inlineStr"/>
    </row>
    <row r="65">
      <c r="A65" s="19" t="inlineStr">
        <is>
          <t>Stroke / TIA</t>
        </is>
      </c>
      <c r="B65" s="19" t="inlineStr">
        <is>
          <t>ICD10CM</t>
        </is>
      </c>
      <c r="C65" s="19" t="inlineStr">
        <is>
          <t>I60</t>
        </is>
      </c>
      <c r="D65" s="19" t="inlineStr">
        <is>
          <t>Nontraumatic subarachnoid hemorrhage</t>
        </is>
      </c>
      <c r="E65" s="19" t="inlineStr">
        <is>
          <t>header (not billable in FY2026; may appear in older records)</t>
        </is>
      </c>
      <c r="F65" s="19" t="inlineStr">
        <is>
          <t>hemorrhagic</t>
        </is>
      </c>
      <c r="G65" s="19" t="inlineStr">
        <is>
          <t>yes</t>
        </is>
      </c>
      <c r="H65" s="19" t="inlineStr"/>
    </row>
    <row r="66">
      <c r="A66" s="19" t="inlineStr">
        <is>
          <t>Stroke / TIA</t>
        </is>
      </c>
      <c r="B66" s="19" t="inlineStr">
        <is>
          <t>ICD10CM</t>
        </is>
      </c>
      <c r="C66" s="19" t="inlineStr">
        <is>
          <t>I60.0</t>
        </is>
      </c>
      <c r="D66" s="19" t="inlineStr">
        <is>
          <t>Nontraumatic subarachnoid hemorrhage from carotid siphon and bifurcation</t>
        </is>
      </c>
      <c r="E66" s="19" t="inlineStr">
        <is>
          <t>header (not billable in FY2026; may appear in older records)</t>
        </is>
      </c>
      <c r="F66" s="19" t="inlineStr">
        <is>
          <t>hemorrhagic</t>
        </is>
      </c>
      <c r="G66" s="19" t="inlineStr">
        <is>
          <t>yes</t>
        </is>
      </c>
      <c r="H66" s="19" t="inlineStr"/>
    </row>
    <row r="67">
      <c r="A67" s="19" t="inlineStr">
        <is>
          <t>Stroke / TIA</t>
        </is>
      </c>
      <c r="B67" s="19" t="inlineStr">
        <is>
          <t>ICD10CM</t>
        </is>
      </c>
      <c r="C67" s="19" t="inlineStr">
        <is>
          <t>I60.00</t>
        </is>
      </c>
      <c r="D67" s="19" t="inlineStr">
        <is>
          <t>Nontraumatic subarachnoid hemorrhage from unspecified carotid siphon and bifurcation</t>
        </is>
      </c>
      <c r="E67" s="19" t="inlineStr">
        <is>
          <t>billable</t>
        </is>
      </c>
      <c r="F67" s="19" t="inlineStr">
        <is>
          <t>hemorrhagic</t>
        </is>
      </c>
      <c r="G67" s="19" t="inlineStr">
        <is>
          <t>yes</t>
        </is>
      </c>
      <c r="H67" s="19" t="inlineStr"/>
    </row>
    <row r="68">
      <c r="A68" s="19" t="inlineStr">
        <is>
          <t>Stroke / TIA</t>
        </is>
      </c>
      <c r="B68" s="19" t="inlineStr">
        <is>
          <t>ICD10CM</t>
        </is>
      </c>
      <c r="C68" s="19" t="inlineStr">
        <is>
          <t>I60.01</t>
        </is>
      </c>
      <c r="D68" s="19" t="inlineStr">
        <is>
          <t>Nontraumatic subarachnoid hemorrhage from right carotid siphon and bifurcation</t>
        </is>
      </c>
      <c r="E68" s="19" t="inlineStr">
        <is>
          <t>billable</t>
        </is>
      </c>
      <c r="F68" s="19" t="inlineStr">
        <is>
          <t>hemorrhagic</t>
        </is>
      </c>
      <c r="G68" s="19" t="inlineStr">
        <is>
          <t>yes</t>
        </is>
      </c>
      <c r="H68" s="19" t="inlineStr"/>
    </row>
    <row r="69">
      <c r="A69" s="19" t="inlineStr">
        <is>
          <t>Stroke / TIA</t>
        </is>
      </c>
      <c r="B69" s="19" t="inlineStr">
        <is>
          <t>ICD10CM</t>
        </is>
      </c>
      <c r="C69" s="19" t="inlineStr">
        <is>
          <t>I60.02</t>
        </is>
      </c>
      <c r="D69" s="19" t="inlineStr">
        <is>
          <t>Nontraumatic subarachnoid hemorrhage from left carotid siphon and bifurcation</t>
        </is>
      </c>
      <c r="E69" s="19" t="inlineStr">
        <is>
          <t>billable</t>
        </is>
      </c>
      <c r="F69" s="19" t="inlineStr">
        <is>
          <t>hemorrhagic</t>
        </is>
      </c>
      <c r="G69" s="19" t="inlineStr">
        <is>
          <t>yes</t>
        </is>
      </c>
      <c r="H69" s="19" t="inlineStr"/>
    </row>
    <row r="70">
      <c r="A70" s="19" t="inlineStr">
        <is>
          <t>Stroke / TIA</t>
        </is>
      </c>
      <c r="B70" s="19" t="inlineStr">
        <is>
          <t>ICD10CM</t>
        </is>
      </c>
      <c r="C70" s="19" t="inlineStr">
        <is>
          <t>I60.1</t>
        </is>
      </c>
      <c r="D70" s="19" t="inlineStr">
        <is>
          <t>Nontraumatic subarachnoid hemorrhage from middle cerebral artery</t>
        </is>
      </c>
      <c r="E70" s="19" t="inlineStr">
        <is>
          <t>header (not billable in FY2026; may appear in older records)</t>
        </is>
      </c>
      <c r="F70" s="19" t="inlineStr">
        <is>
          <t>hemorrhagic</t>
        </is>
      </c>
      <c r="G70" s="19" t="inlineStr">
        <is>
          <t>yes</t>
        </is>
      </c>
      <c r="H70" s="19" t="inlineStr"/>
    </row>
    <row r="71">
      <c r="A71" s="19" t="inlineStr">
        <is>
          <t>Stroke / TIA</t>
        </is>
      </c>
      <c r="B71" s="19" t="inlineStr">
        <is>
          <t>ICD10CM</t>
        </is>
      </c>
      <c r="C71" s="19" t="inlineStr">
        <is>
          <t>I60.10</t>
        </is>
      </c>
      <c r="D71" s="19" t="inlineStr">
        <is>
          <t>Nontraumatic subarachnoid hemorrhage from unspecified middle cerebral artery</t>
        </is>
      </c>
      <c r="E71" s="19" t="inlineStr">
        <is>
          <t>billable</t>
        </is>
      </c>
      <c r="F71" s="19" t="inlineStr">
        <is>
          <t>hemorrhagic</t>
        </is>
      </c>
      <c r="G71" s="19" t="inlineStr">
        <is>
          <t>yes</t>
        </is>
      </c>
      <c r="H71" s="19" t="inlineStr"/>
    </row>
    <row r="72">
      <c r="A72" s="19" t="inlineStr">
        <is>
          <t>Stroke / TIA</t>
        </is>
      </c>
      <c r="B72" s="19" t="inlineStr">
        <is>
          <t>ICD10CM</t>
        </is>
      </c>
      <c r="C72" s="19" t="inlineStr">
        <is>
          <t>I60.11</t>
        </is>
      </c>
      <c r="D72" s="19" t="inlineStr">
        <is>
          <t>Nontraumatic subarachnoid hemorrhage from right middle cerebral artery</t>
        </is>
      </c>
      <c r="E72" s="19" t="inlineStr">
        <is>
          <t>billable</t>
        </is>
      </c>
      <c r="F72" s="19" t="inlineStr">
        <is>
          <t>hemorrhagic</t>
        </is>
      </c>
      <c r="G72" s="19" t="inlineStr">
        <is>
          <t>yes</t>
        </is>
      </c>
      <c r="H72" s="19" t="inlineStr"/>
    </row>
    <row r="73">
      <c r="A73" s="19" t="inlineStr">
        <is>
          <t>Stroke / TIA</t>
        </is>
      </c>
      <c r="B73" s="19" t="inlineStr">
        <is>
          <t>ICD10CM</t>
        </is>
      </c>
      <c r="C73" s="19" t="inlineStr">
        <is>
          <t>I60.12</t>
        </is>
      </c>
      <c r="D73" s="19" t="inlineStr">
        <is>
          <t>Nontraumatic subarachnoid hemorrhage from left middle cerebral artery</t>
        </is>
      </c>
      <c r="E73" s="19" t="inlineStr">
        <is>
          <t>billable</t>
        </is>
      </c>
      <c r="F73" s="19" t="inlineStr">
        <is>
          <t>hemorrhagic</t>
        </is>
      </c>
      <c r="G73" s="19" t="inlineStr">
        <is>
          <t>yes</t>
        </is>
      </c>
      <c r="H73" s="19" t="inlineStr"/>
    </row>
    <row r="74">
      <c r="A74" s="19" t="inlineStr">
        <is>
          <t>Stroke / TIA</t>
        </is>
      </c>
      <c r="B74" s="19" t="inlineStr">
        <is>
          <t>ICD10CM</t>
        </is>
      </c>
      <c r="C74" s="19" t="inlineStr">
        <is>
          <t>I60.2</t>
        </is>
      </c>
      <c r="D74" s="19" t="inlineStr">
        <is>
          <t>Nontraumatic subarachnoid hemorrhage from anterior communicating artery</t>
        </is>
      </c>
      <c r="E74" s="19" t="inlineStr">
        <is>
          <t>billable</t>
        </is>
      </c>
      <c r="F74" s="19" t="inlineStr">
        <is>
          <t>hemorrhagic</t>
        </is>
      </c>
      <c r="G74" s="19" t="inlineStr">
        <is>
          <t>yes</t>
        </is>
      </c>
      <c r="H74" s="19" t="inlineStr"/>
    </row>
    <row r="75">
      <c r="A75" s="19" t="inlineStr">
        <is>
          <t>Stroke / TIA</t>
        </is>
      </c>
      <c r="B75" s="19" t="inlineStr">
        <is>
          <t>ICD10CM</t>
        </is>
      </c>
      <c r="C75" s="19" t="inlineStr">
        <is>
          <t>I60.3</t>
        </is>
      </c>
      <c r="D75" s="19" t="inlineStr">
        <is>
          <t>Nontraumatic subarachnoid hemorrhage from posterior communicating artery</t>
        </is>
      </c>
      <c r="E75" s="19" t="inlineStr">
        <is>
          <t>header (not billable in FY2026; may appear in older records)</t>
        </is>
      </c>
      <c r="F75" s="19" t="inlineStr">
        <is>
          <t>hemorrhagic</t>
        </is>
      </c>
      <c r="G75" s="19" t="inlineStr">
        <is>
          <t>yes</t>
        </is>
      </c>
      <c r="H75" s="19" t="inlineStr"/>
    </row>
    <row r="76">
      <c r="A76" s="19" t="inlineStr">
        <is>
          <t>Stroke / TIA</t>
        </is>
      </c>
      <c r="B76" s="19" t="inlineStr">
        <is>
          <t>ICD10CM</t>
        </is>
      </c>
      <c r="C76" s="19" t="inlineStr">
        <is>
          <t>I60.30</t>
        </is>
      </c>
      <c r="D76" s="19" t="inlineStr">
        <is>
          <t>Nontraumatic subarachnoid hemorrhage from unspecified posterior communicating artery</t>
        </is>
      </c>
      <c r="E76" s="19" t="inlineStr">
        <is>
          <t>billable</t>
        </is>
      </c>
      <c r="F76" s="19" t="inlineStr">
        <is>
          <t>hemorrhagic</t>
        </is>
      </c>
      <c r="G76" s="19" t="inlineStr">
        <is>
          <t>yes</t>
        </is>
      </c>
      <c r="H76" s="19" t="inlineStr"/>
    </row>
    <row r="77">
      <c r="A77" s="19" t="inlineStr">
        <is>
          <t>Stroke / TIA</t>
        </is>
      </c>
      <c r="B77" s="19" t="inlineStr">
        <is>
          <t>ICD10CM</t>
        </is>
      </c>
      <c r="C77" s="19" t="inlineStr">
        <is>
          <t>I60.31</t>
        </is>
      </c>
      <c r="D77" s="19" t="inlineStr">
        <is>
          <t>Nontraumatic subarachnoid hemorrhage from right posterior communicating artery</t>
        </is>
      </c>
      <c r="E77" s="19" t="inlineStr">
        <is>
          <t>billable</t>
        </is>
      </c>
      <c r="F77" s="19" t="inlineStr">
        <is>
          <t>hemorrhagic</t>
        </is>
      </c>
      <c r="G77" s="19" t="inlineStr">
        <is>
          <t>yes</t>
        </is>
      </c>
      <c r="H77" s="19" t="inlineStr"/>
    </row>
    <row r="78">
      <c r="A78" s="19" t="inlineStr">
        <is>
          <t>Stroke / TIA</t>
        </is>
      </c>
      <c r="B78" s="19" t="inlineStr">
        <is>
          <t>ICD10CM</t>
        </is>
      </c>
      <c r="C78" s="19" t="inlineStr">
        <is>
          <t>I60.32</t>
        </is>
      </c>
      <c r="D78" s="19" t="inlineStr">
        <is>
          <t>Nontraumatic subarachnoid hemorrhage from left posterior communicating artery</t>
        </is>
      </c>
      <c r="E78" s="19" t="inlineStr">
        <is>
          <t>billable</t>
        </is>
      </c>
      <c r="F78" s="19" t="inlineStr">
        <is>
          <t>hemorrhagic</t>
        </is>
      </c>
      <c r="G78" s="19" t="inlineStr">
        <is>
          <t>yes</t>
        </is>
      </c>
      <c r="H78" s="19" t="inlineStr"/>
    </row>
    <row r="79">
      <c r="A79" s="19" t="inlineStr">
        <is>
          <t>Stroke / TIA</t>
        </is>
      </c>
      <c r="B79" s="19" t="inlineStr">
        <is>
          <t>ICD10CM</t>
        </is>
      </c>
      <c r="C79" s="19" t="inlineStr">
        <is>
          <t>I60.4</t>
        </is>
      </c>
      <c r="D79" s="19" t="inlineStr">
        <is>
          <t>Nontraumatic subarachnoid hemorrhage from basilar artery</t>
        </is>
      </c>
      <c r="E79" s="19" t="inlineStr">
        <is>
          <t>billable</t>
        </is>
      </c>
      <c r="F79" s="19" t="inlineStr">
        <is>
          <t>hemorrhagic</t>
        </is>
      </c>
      <c r="G79" s="19" t="inlineStr">
        <is>
          <t>yes</t>
        </is>
      </c>
      <c r="H79" s="19" t="inlineStr"/>
    </row>
    <row r="80">
      <c r="A80" s="19" t="inlineStr">
        <is>
          <t>Stroke / TIA</t>
        </is>
      </c>
      <c r="B80" s="19" t="inlineStr">
        <is>
          <t>ICD10CM</t>
        </is>
      </c>
      <c r="C80" s="19" t="inlineStr">
        <is>
          <t>I60.5</t>
        </is>
      </c>
      <c r="D80" s="19" t="inlineStr">
        <is>
          <t>Nontraumatic subarachnoid hemorrhage from vertebral artery</t>
        </is>
      </c>
      <c r="E80" s="19" t="inlineStr">
        <is>
          <t>header (not billable in FY2026; may appear in older records)</t>
        </is>
      </c>
      <c r="F80" s="19" t="inlineStr">
        <is>
          <t>hemorrhagic</t>
        </is>
      </c>
      <c r="G80" s="19" t="inlineStr">
        <is>
          <t>yes</t>
        </is>
      </c>
      <c r="H80" s="19" t="inlineStr"/>
    </row>
    <row r="81">
      <c r="A81" s="19" t="inlineStr">
        <is>
          <t>Stroke / TIA</t>
        </is>
      </c>
      <c r="B81" s="19" t="inlineStr">
        <is>
          <t>ICD10CM</t>
        </is>
      </c>
      <c r="C81" s="19" t="inlineStr">
        <is>
          <t>I60.50</t>
        </is>
      </c>
      <c r="D81" s="19" t="inlineStr">
        <is>
          <t>Nontraumatic subarachnoid hemorrhage from unspecified vertebral artery</t>
        </is>
      </c>
      <c r="E81" s="19" t="inlineStr">
        <is>
          <t>billable</t>
        </is>
      </c>
      <c r="F81" s="19" t="inlineStr">
        <is>
          <t>hemorrhagic</t>
        </is>
      </c>
      <c r="G81" s="19" t="inlineStr">
        <is>
          <t>yes</t>
        </is>
      </c>
      <c r="H81" s="19" t="inlineStr"/>
    </row>
    <row r="82">
      <c r="A82" s="19" t="inlineStr">
        <is>
          <t>Stroke / TIA</t>
        </is>
      </c>
      <c r="B82" s="19" t="inlineStr">
        <is>
          <t>ICD10CM</t>
        </is>
      </c>
      <c r="C82" s="19" t="inlineStr">
        <is>
          <t>I60.51</t>
        </is>
      </c>
      <c r="D82" s="19" t="inlineStr">
        <is>
          <t>Nontraumatic subarachnoid hemorrhage from right vertebral artery</t>
        </is>
      </c>
      <c r="E82" s="19" t="inlineStr">
        <is>
          <t>billable</t>
        </is>
      </c>
      <c r="F82" s="19" t="inlineStr">
        <is>
          <t>hemorrhagic</t>
        </is>
      </c>
      <c r="G82" s="19" t="inlineStr">
        <is>
          <t>yes</t>
        </is>
      </c>
      <c r="H82" s="19" t="inlineStr"/>
    </row>
    <row r="83">
      <c r="A83" s="19" t="inlineStr">
        <is>
          <t>Stroke / TIA</t>
        </is>
      </c>
      <c r="B83" s="19" t="inlineStr">
        <is>
          <t>ICD10CM</t>
        </is>
      </c>
      <c r="C83" s="19" t="inlineStr">
        <is>
          <t>I60.52</t>
        </is>
      </c>
      <c r="D83" s="19" t="inlineStr">
        <is>
          <t>Nontraumatic subarachnoid hemorrhage from left vertebral artery</t>
        </is>
      </c>
      <c r="E83" s="19" t="inlineStr">
        <is>
          <t>billable</t>
        </is>
      </c>
      <c r="F83" s="19" t="inlineStr">
        <is>
          <t>hemorrhagic</t>
        </is>
      </c>
      <c r="G83" s="19" t="inlineStr">
        <is>
          <t>yes</t>
        </is>
      </c>
      <c r="H83" s="19" t="inlineStr"/>
    </row>
    <row r="84">
      <c r="A84" s="19" t="inlineStr">
        <is>
          <t>Stroke / TIA</t>
        </is>
      </c>
      <c r="B84" s="19" t="inlineStr">
        <is>
          <t>ICD10CM</t>
        </is>
      </c>
      <c r="C84" s="19" t="inlineStr">
        <is>
          <t>I60.6</t>
        </is>
      </c>
      <c r="D84" s="19" t="inlineStr">
        <is>
          <t>Nontraumatic subarachnoid hemorrhage from other intracranial arteries</t>
        </is>
      </c>
      <c r="E84" s="19" t="inlineStr">
        <is>
          <t>billable</t>
        </is>
      </c>
      <c r="F84" s="19" t="inlineStr">
        <is>
          <t>hemorrhagic</t>
        </is>
      </c>
      <c r="G84" s="19" t="inlineStr">
        <is>
          <t>yes</t>
        </is>
      </c>
      <c r="H84" s="19" t="inlineStr"/>
    </row>
    <row r="85">
      <c r="A85" s="19" t="inlineStr">
        <is>
          <t>Stroke / TIA</t>
        </is>
      </c>
      <c r="B85" s="19" t="inlineStr">
        <is>
          <t>ICD10CM</t>
        </is>
      </c>
      <c r="C85" s="19" t="inlineStr">
        <is>
          <t>I60.7</t>
        </is>
      </c>
      <c r="D85" s="19" t="inlineStr">
        <is>
          <t>Nontraumatic subarachnoid hemorrhage from unspecified intracranial artery</t>
        </is>
      </c>
      <c r="E85" s="19" t="inlineStr">
        <is>
          <t>billable</t>
        </is>
      </c>
      <c r="F85" s="19" t="inlineStr">
        <is>
          <t>hemorrhagic</t>
        </is>
      </c>
      <c r="G85" s="19" t="inlineStr">
        <is>
          <t>yes</t>
        </is>
      </c>
      <c r="H85" s="19" t="inlineStr"/>
    </row>
    <row r="86">
      <c r="A86" s="19" t="inlineStr">
        <is>
          <t>Stroke / TIA</t>
        </is>
      </c>
      <c r="B86" s="19" t="inlineStr">
        <is>
          <t>ICD10CM</t>
        </is>
      </c>
      <c r="C86" s="19" t="inlineStr">
        <is>
          <t>I60.8</t>
        </is>
      </c>
      <c r="D86" s="19" t="inlineStr">
        <is>
          <t>Other nontraumatic subarachnoid hemorrhage</t>
        </is>
      </c>
      <c r="E86" s="19" t="inlineStr">
        <is>
          <t>billable</t>
        </is>
      </c>
      <c r="F86" s="19" t="inlineStr">
        <is>
          <t>hemorrhagic</t>
        </is>
      </c>
      <c r="G86" s="19" t="inlineStr">
        <is>
          <t>yes</t>
        </is>
      </c>
      <c r="H86" s="19" t="inlineStr"/>
    </row>
    <row r="87">
      <c r="A87" s="19" t="inlineStr">
        <is>
          <t>Stroke / TIA</t>
        </is>
      </c>
      <c r="B87" s="19" t="inlineStr">
        <is>
          <t>ICD10CM</t>
        </is>
      </c>
      <c r="C87" s="19" t="inlineStr">
        <is>
          <t>I60.9</t>
        </is>
      </c>
      <c r="D87" s="19" t="inlineStr">
        <is>
          <t>Nontraumatic subarachnoid hemorrhage, unspecified</t>
        </is>
      </c>
      <c r="E87" s="19" t="inlineStr">
        <is>
          <t>billable</t>
        </is>
      </c>
      <c r="F87" s="19" t="inlineStr">
        <is>
          <t>hemorrhagic</t>
        </is>
      </c>
      <c r="G87" s="19" t="inlineStr">
        <is>
          <t>yes</t>
        </is>
      </c>
      <c r="H87" s="19" t="inlineStr"/>
    </row>
    <row r="88">
      <c r="A88" s="19" t="inlineStr">
        <is>
          <t>Stroke / TIA</t>
        </is>
      </c>
      <c r="B88" s="19" t="inlineStr">
        <is>
          <t>ICD10CM</t>
        </is>
      </c>
      <c r="C88" s="19" t="inlineStr">
        <is>
          <t>I61</t>
        </is>
      </c>
      <c r="D88" s="19" t="inlineStr">
        <is>
          <t>Nontraumatic intracerebral hemorrhage</t>
        </is>
      </c>
      <c r="E88" s="19" t="inlineStr">
        <is>
          <t>header (not billable in FY2026; may appear in older records)</t>
        </is>
      </c>
      <c r="F88" s="19" t="inlineStr">
        <is>
          <t>hemorrhagic</t>
        </is>
      </c>
      <c r="G88" s="19" t="inlineStr">
        <is>
          <t>yes</t>
        </is>
      </c>
      <c r="H88" s="19" t="inlineStr"/>
    </row>
    <row r="89">
      <c r="A89" s="19" t="inlineStr">
        <is>
          <t>Stroke / TIA</t>
        </is>
      </c>
      <c r="B89" s="19" t="inlineStr">
        <is>
          <t>ICD10CM</t>
        </is>
      </c>
      <c r="C89" s="19" t="inlineStr">
        <is>
          <t>I61.0</t>
        </is>
      </c>
      <c r="D89" s="19" t="inlineStr">
        <is>
          <t>Nontraumatic intracerebral hemorrhage in hemisphere, subcortical</t>
        </is>
      </c>
      <c r="E89" s="19" t="inlineStr">
        <is>
          <t>billable</t>
        </is>
      </c>
      <c r="F89" s="19" t="inlineStr">
        <is>
          <t>hemorrhagic</t>
        </is>
      </c>
      <c r="G89" s="19" t="inlineStr">
        <is>
          <t>yes</t>
        </is>
      </c>
      <c r="H89" s="19" t="inlineStr"/>
    </row>
    <row r="90">
      <c r="A90" s="19" t="inlineStr">
        <is>
          <t>Stroke / TIA</t>
        </is>
      </c>
      <c r="B90" s="19" t="inlineStr">
        <is>
          <t>ICD10CM</t>
        </is>
      </c>
      <c r="C90" s="19" t="inlineStr">
        <is>
          <t>I61.1</t>
        </is>
      </c>
      <c r="D90" s="19" t="inlineStr">
        <is>
          <t>Nontraumatic intracerebral hemorrhage in hemisphere, cortical</t>
        </is>
      </c>
      <c r="E90" s="19" t="inlineStr">
        <is>
          <t>billable</t>
        </is>
      </c>
      <c r="F90" s="19" t="inlineStr">
        <is>
          <t>hemorrhagic</t>
        </is>
      </c>
      <c r="G90" s="19" t="inlineStr">
        <is>
          <t>yes</t>
        </is>
      </c>
      <c r="H90" s="19" t="inlineStr"/>
    </row>
    <row r="91">
      <c r="A91" s="19" t="inlineStr">
        <is>
          <t>Stroke / TIA</t>
        </is>
      </c>
      <c r="B91" s="19" t="inlineStr">
        <is>
          <t>ICD10CM</t>
        </is>
      </c>
      <c r="C91" s="19" t="inlineStr">
        <is>
          <t>I61.2</t>
        </is>
      </c>
      <c r="D91" s="19" t="inlineStr">
        <is>
          <t>Nontraumatic intracerebral hemorrhage in hemisphere, unspecified</t>
        </is>
      </c>
      <c r="E91" s="19" t="inlineStr">
        <is>
          <t>billable</t>
        </is>
      </c>
      <c r="F91" s="19" t="inlineStr">
        <is>
          <t>hemorrhagic</t>
        </is>
      </c>
      <c r="G91" s="19" t="inlineStr">
        <is>
          <t>yes</t>
        </is>
      </c>
      <c r="H91" s="19" t="inlineStr"/>
    </row>
    <row r="92">
      <c r="A92" s="19" t="inlineStr">
        <is>
          <t>Stroke / TIA</t>
        </is>
      </c>
      <c r="B92" s="19" t="inlineStr">
        <is>
          <t>ICD10CM</t>
        </is>
      </c>
      <c r="C92" s="19" t="inlineStr">
        <is>
          <t>I61.3</t>
        </is>
      </c>
      <c r="D92" s="19" t="inlineStr">
        <is>
          <t>Nontraumatic intracerebral hemorrhage in brain stem</t>
        </is>
      </c>
      <c r="E92" s="19" t="inlineStr">
        <is>
          <t>billable</t>
        </is>
      </c>
      <c r="F92" s="19" t="inlineStr">
        <is>
          <t>hemorrhagic</t>
        </is>
      </c>
      <c r="G92" s="19" t="inlineStr">
        <is>
          <t>yes</t>
        </is>
      </c>
      <c r="H92" s="19" t="inlineStr"/>
    </row>
    <row r="93">
      <c r="A93" s="19" t="inlineStr">
        <is>
          <t>Stroke / TIA</t>
        </is>
      </c>
      <c r="B93" s="19" t="inlineStr">
        <is>
          <t>ICD10CM</t>
        </is>
      </c>
      <c r="C93" s="19" t="inlineStr">
        <is>
          <t>I61.4</t>
        </is>
      </c>
      <c r="D93" s="19" t="inlineStr">
        <is>
          <t>Nontraumatic intracerebral hemorrhage in cerebellum</t>
        </is>
      </c>
      <c r="E93" s="19" t="inlineStr">
        <is>
          <t>billable</t>
        </is>
      </c>
      <c r="F93" s="19" t="inlineStr">
        <is>
          <t>hemorrhagic</t>
        </is>
      </c>
      <c r="G93" s="19" t="inlineStr">
        <is>
          <t>yes</t>
        </is>
      </c>
      <c r="H93" s="19" t="inlineStr"/>
    </row>
    <row r="94">
      <c r="A94" s="19" t="inlineStr">
        <is>
          <t>Stroke / TIA</t>
        </is>
      </c>
      <c r="B94" s="19" t="inlineStr">
        <is>
          <t>ICD10CM</t>
        </is>
      </c>
      <c r="C94" s="19" t="inlineStr">
        <is>
          <t>I61.5</t>
        </is>
      </c>
      <c r="D94" s="19" t="inlineStr">
        <is>
          <t>Nontraumatic intracerebral hemorrhage, intraventricular</t>
        </is>
      </c>
      <c r="E94" s="19" t="inlineStr">
        <is>
          <t>billable</t>
        </is>
      </c>
      <c r="F94" s="19" t="inlineStr">
        <is>
          <t>hemorrhagic</t>
        </is>
      </c>
      <c r="G94" s="19" t="inlineStr">
        <is>
          <t>yes</t>
        </is>
      </c>
      <c r="H94" s="19" t="inlineStr"/>
    </row>
    <row r="95">
      <c r="A95" s="19" t="inlineStr">
        <is>
          <t>Stroke / TIA</t>
        </is>
      </c>
      <c r="B95" s="19" t="inlineStr">
        <is>
          <t>ICD10CM</t>
        </is>
      </c>
      <c r="C95" s="19" t="inlineStr">
        <is>
          <t>I61.6</t>
        </is>
      </c>
      <c r="D95" s="19" t="inlineStr">
        <is>
          <t>Nontraumatic intracerebral hemorrhage, multiple localized</t>
        </is>
      </c>
      <c r="E95" s="19" t="inlineStr">
        <is>
          <t>billable</t>
        </is>
      </c>
      <c r="F95" s="19" t="inlineStr">
        <is>
          <t>hemorrhagic</t>
        </is>
      </c>
      <c r="G95" s="19" t="inlineStr">
        <is>
          <t>yes</t>
        </is>
      </c>
      <c r="H95" s="19" t="inlineStr"/>
    </row>
    <row r="96">
      <c r="A96" s="19" t="inlineStr">
        <is>
          <t>Stroke / TIA</t>
        </is>
      </c>
      <c r="B96" s="19" t="inlineStr">
        <is>
          <t>ICD10CM</t>
        </is>
      </c>
      <c r="C96" s="19" t="inlineStr">
        <is>
          <t>I61.8</t>
        </is>
      </c>
      <c r="D96" s="19" t="inlineStr">
        <is>
          <t>Other nontraumatic intracerebral hemorrhage</t>
        </is>
      </c>
      <c r="E96" s="19" t="inlineStr">
        <is>
          <t>billable</t>
        </is>
      </c>
      <c r="F96" s="19" t="inlineStr">
        <is>
          <t>hemorrhagic</t>
        </is>
      </c>
      <c r="G96" s="19" t="inlineStr">
        <is>
          <t>yes</t>
        </is>
      </c>
      <c r="H96" s="19" t="inlineStr"/>
    </row>
    <row r="97">
      <c r="A97" s="19" t="inlineStr">
        <is>
          <t>Stroke / TIA</t>
        </is>
      </c>
      <c r="B97" s="19" t="inlineStr">
        <is>
          <t>ICD10CM</t>
        </is>
      </c>
      <c r="C97" s="19" t="inlineStr">
        <is>
          <t>I61.9</t>
        </is>
      </c>
      <c r="D97" s="19" t="inlineStr">
        <is>
          <t>Nontraumatic intracerebral hemorrhage, unspecified</t>
        </is>
      </c>
      <c r="E97" s="19" t="inlineStr">
        <is>
          <t>billable</t>
        </is>
      </c>
      <c r="F97" s="19" t="inlineStr">
        <is>
          <t>hemorrhagic</t>
        </is>
      </c>
      <c r="G97" s="19" t="inlineStr">
        <is>
          <t>yes</t>
        </is>
      </c>
      <c r="H97" s="19" t="inlineStr"/>
    </row>
    <row r="98">
      <c r="A98" s="19" t="inlineStr">
        <is>
          <t>Stroke / TIA</t>
        </is>
      </c>
      <c r="B98" s="19" t="inlineStr">
        <is>
          <t>ICD10CM</t>
        </is>
      </c>
      <c r="C98" s="19" t="inlineStr">
        <is>
          <t>I62</t>
        </is>
      </c>
      <c r="D98" s="19" t="inlineStr">
        <is>
          <t>Other and unspecified nontraumatic intracranial hemorrhage</t>
        </is>
      </c>
      <c r="E98" s="19" t="inlineStr">
        <is>
          <t>header (not billable in FY2026; may appear in older records)</t>
        </is>
      </c>
      <c r="F98" s="19" t="inlineStr">
        <is>
          <t>hemorrhagic</t>
        </is>
      </c>
      <c r="G98" s="19" t="inlineStr">
        <is>
          <t>yes</t>
        </is>
      </c>
      <c r="H98" s="19" t="inlineStr"/>
    </row>
    <row r="99">
      <c r="A99" s="27" t="inlineStr">
        <is>
          <t>Stroke / TIA</t>
        </is>
      </c>
      <c r="B99" s="27" t="inlineStr">
        <is>
          <t>ICD10CM</t>
        </is>
      </c>
      <c r="C99" s="27" t="inlineStr">
        <is>
          <t>I62.0</t>
        </is>
      </c>
      <c r="D99" s="27" t="inlineStr">
        <is>
          <t>Nontraumatic subdural hemorrhage</t>
        </is>
      </c>
      <c r="E99" s="27" t="inlineStr">
        <is>
          <t>header (not billable in FY2026; may appear in older records)</t>
        </is>
      </c>
      <c r="F99" s="27" t="inlineStr">
        <is>
          <t>hemorrhagic</t>
        </is>
      </c>
      <c r="G99" s="27" t="inlineStr">
        <is>
          <t>no</t>
        </is>
      </c>
      <c r="H99" s="27" t="inlineStr">
        <is>
          <t>Nontraumatic subdural hemorrhage: not a stroke under the AHA/ASA 2013 definition</t>
        </is>
      </c>
    </row>
    <row r="100">
      <c r="A100" s="27" t="inlineStr">
        <is>
          <t>Stroke / TIA</t>
        </is>
      </c>
      <c r="B100" s="27" t="inlineStr">
        <is>
          <t>ICD10CM</t>
        </is>
      </c>
      <c r="C100" s="27" t="inlineStr">
        <is>
          <t>I62.00</t>
        </is>
      </c>
      <c r="D100" s="27" t="inlineStr">
        <is>
          <t>Nontraumatic subdural hemorrhage, unspecified</t>
        </is>
      </c>
      <c r="E100" s="27" t="inlineStr">
        <is>
          <t>billable</t>
        </is>
      </c>
      <c r="F100" s="27" t="inlineStr">
        <is>
          <t>hemorrhagic</t>
        </is>
      </c>
      <c r="G100" s="27" t="inlineStr">
        <is>
          <t>no</t>
        </is>
      </c>
      <c r="H100" s="27" t="inlineStr">
        <is>
          <t>Nontraumatic subdural hemorrhage: not a stroke under the AHA/ASA 2013 definition</t>
        </is>
      </c>
    </row>
    <row r="101">
      <c r="A101" s="27" t="inlineStr">
        <is>
          <t>Stroke / TIA</t>
        </is>
      </c>
      <c r="B101" s="27" t="inlineStr">
        <is>
          <t>ICD10CM</t>
        </is>
      </c>
      <c r="C101" s="27" t="inlineStr">
        <is>
          <t>I62.01</t>
        </is>
      </c>
      <c r="D101" s="27" t="inlineStr">
        <is>
          <t>Nontraumatic acute subdural hemorrhage</t>
        </is>
      </c>
      <c r="E101" s="27" t="inlineStr">
        <is>
          <t>billable</t>
        </is>
      </c>
      <c r="F101" s="27" t="inlineStr">
        <is>
          <t>hemorrhagic</t>
        </is>
      </c>
      <c r="G101" s="27" t="inlineStr">
        <is>
          <t>no</t>
        </is>
      </c>
      <c r="H101" s="27" t="inlineStr">
        <is>
          <t>Nontraumatic subdural hemorrhage: not a stroke under the AHA/ASA 2013 definition</t>
        </is>
      </c>
    </row>
    <row r="102">
      <c r="A102" s="27" t="inlineStr">
        <is>
          <t>Stroke / TIA</t>
        </is>
      </c>
      <c r="B102" s="27" t="inlineStr">
        <is>
          <t>ICD10CM</t>
        </is>
      </c>
      <c r="C102" s="27" t="inlineStr">
        <is>
          <t>I62.02</t>
        </is>
      </c>
      <c r="D102" s="27" t="inlineStr">
        <is>
          <t>Nontraumatic subacute subdural hemorrhage</t>
        </is>
      </c>
      <c r="E102" s="27" t="inlineStr">
        <is>
          <t>billable</t>
        </is>
      </c>
      <c r="F102" s="27" t="inlineStr">
        <is>
          <t>hemorrhagic</t>
        </is>
      </c>
      <c r="G102" s="27" t="inlineStr">
        <is>
          <t>no</t>
        </is>
      </c>
      <c r="H102" s="27" t="inlineStr">
        <is>
          <t>Nontraumatic subdural hemorrhage: not a stroke under the AHA/ASA 2013 definition</t>
        </is>
      </c>
    </row>
    <row r="103">
      <c r="A103" s="27" t="inlineStr">
        <is>
          <t>Stroke / TIA</t>
        </is>
      </c>
      <c r="B103" s="27" t="inlineStr">
        <is>
          <t>ICD10CM</t>
        </is>
      </c>
      <c r="C103" s="27" t="inlineStr">
        <is>
          <t>I62.03</t>
        </is>
      </c>
      <c r="D103" s="27" t="inlineStr">
        <is>
          <t>Nontraumatic chronic subdural hemorrhage</t>
        </is>
      </c>
      <c r="E103" s="27" t="inlineStr">
        <is>
          <t>billable</t>
        </is>
      </c>
      <c r="F103" s="27" t="inlineStr">
        <is>
          <t>hemorrhagic</t>
        </is>
      </c>
      <c r="G103" s="27" t="inlineStr">
        <is>
          <t>no</t>
        </is>
      </c>
      <c r="H103" s="27" t="inlineStr">
        <is>
          <t>Nontraumatic subdural hemorrhage: not a stroke under the AHA/ASA 2013 definition</t>
        </is>
      </c>
    </row>
    <row r="104">
      <c r="A104" s="27" t="inlineStr">
        <is>
          <t>Stroke / TIA</t>
        </is>
      </c>
      <c r="B104" s="27" t="inlineStr">
        <is>
          <t>ICD10CM</t>
        </is>
      </c>
      <c r="C104" s="27" t="inlineStr">
        <is>
          <t>I62.1</t>
        </is>
      </c>
      <c r="D104" s="27" t="inlineStr">
        <is>
          <t>Nontraumatic extradural hemorrhage</t>
        </is>
      </c>
      <c r="E104" s="27" t="inlineStr">
        <is>
          <t>billable</t>
        </is>
      </c>
      <c r="F104" s="27" t="inlineStr">
        <is>
          <t>hemorrhagic</t>
        </is>
      </c>
      <c r="G104" s="27" t="inlineStr">
        <is>
          <t>no</t>
        </is>
      </c>
      <c r="H104" s="27" t="inlineStr">
        <is>
          <t>Nontraumatic extradural hemorrhage: not a stroke under the AHA/ASA 2013 definition</t>
        </is>
      </c>
    </row>
    <row r="105">
      <c r="A105" s="19" t="inlineStr">
        <is>
          <t>Stroke / TIA</t>
        </is>
      </c>
      <c r="B105" s="19" t="inlineStr">
        <is>
          <t>ICD10CM</t>
        </is>
      </c>
      <c r="C105" s="19" t="inlineStr">
        <is>
          <t>I62.9</t>
        </is>
      </c>
      <c r="D105" s="19" t="inlineStr">
        <is>
          <t>Nontraumatic intracranial hemorrhage, unspecified</t>
        </is>
      </c>
      <c r="E105" s="19" t="inlineStr">
        <is>
          <t>billable</t>
        </is>
      </c>
      <c r="F105" s="19" t="inlineStr">
        <is>
          <t>hemorrhagic</t>
        </is>
      </c>
      <c r="G105" s="19" t="inlineStr">
        <is>
          <t>yes</t>
        </is>
      </c>
      <c r="H105" s="19" t="inlineStr"/>
    </row>
    <row r="106">
      <c r="A106" s="19" t="inlineStr">
        <is>
          <t>Stroke / TIA</t>
        </is>
      </c>
      <c r="B106" s="19" t="inlineStr">
        <is>
          <t>ICD10CM</t>
        </is>
      </c>
      <c r="C106" s="19" t="inlineStr">
        <is>
          <t>I63</t>
        </is>
      </c>
      <c r="D106" s="19" t="inlineStr">
        <is>
          <t>Cerebral infarction</t>
        </is>
      </c>
      <c r="E106" s="19" t="inlineStr">
        <is>
          <t>header (not billable in FY2026; may appear in older records)</t>
        </is>
      </c>
      <c r="F106" s="19" t="inlineStr">
        <is>
          <t>ischemic</t>
        </is>
      </c>
      <c r="G106" s="19" t="inlineStr">
        <is>
          <t>yes</t>
        </is>
      </c>
      <c r="H106" s="19" t="inlineStr"/>
    </row>
    <row r="107">
      <c r="A107" s="19" t="inlineStr">
        <is>
          <t>Stroke / TIA</t>
        </is>
      </c>
      <c r="B107" s="19" t="inlineStr">
        <is>
          <t>ICD10CM</t>
        </is>
      </c>
      <c r="C107" s="19" t="inlineStr">
        <is>
          <t>I63.0</t>
        </is>
      </c>
      <c r="D107" s="19" t="inlineStr">
        <is>
          <t>Cerebral infarction due to thrombosis of precerebral arteries</t>
        </is>
      </c>
      <c r="E107" s="19" t="inlineStr">
        <is>
          <t>header (not billable in FY2026; may appear in older records)</t>
        </is>
      </c>
      <c r="F107" s="19" t="inlineStr">
        <is>
          <t>ischemic</t>
        </is>
      </c>
      <c r="G107" s="19" t="inlineStr">
        <is>
          <t>yes</t>
        </is>
      </c>
      <c r="H107" s="19" t="inlineStr"/>
    </row>
    <row r="108">
      <c r="A108" s="19" t="inlineStr">
        <is>
          <t>Stroke / TIA</t>
        </is>
      </c>
      <c r="B108" s="19" t="inlineStr">
        <is>
          <t>ICD10CM</t>
        </is>
      </c>
      <c r="C108" s="19" t="inlineStr">
        <is>
          <t>I63.00</t>
        </is>
      </c>
      <c r="D108" s="19" t="inlineStr">
        <is>
          <t>Cerebral infarction due to thrombosis of unspecified precerebral artery</t>
        </is>
      </c>
      <c r="E108" s="19" t="inlineStr">
        <is>
          <t>billable</t>
        </is>
      </c>
      <c r="F108" s="19" t="inlineStr">
        <is>
          <t>ischemic</t>
        </is>
      </c>
      <c r="G108" s="19" t="inlineStr">
        <is>
          <t>yes</t>
        </is>
      </c>
      <c r="H108" s="19" t="inlineStr"/>
    </row>
    <row r="109">
      <c r="A109" s="19" t="inlineStr">
        <is>
          <t>Stroke / TIA</t>
        </is>
      </c>
      <c r="B109" s="19" t="inlineStr">
        <is>
          <t>ICD10CM</t>
        </is>
      </c>
      <c r="C109" s="19" t="inlineStr">
        <is>
          <t>I63.01</t>
        </is>
      </c>
      <c r="D109" s="19" t="inlineStr">
        <is>
          <t>Cerebral infarction due to thrombosis of vertebral artery</t>
        </is>
      </c>
      <c r="E109" s="19" t="inlineStr">
        <is>
          <t>header (not billable in FY2026; may appear in older records)</t>
        </is>
      </c>
      <c r="F109" s="19" t="inlineStr">
        <is>
          <t>ischemic</t>
        </is>
      </c>
      <c r="G109" s="19" t="inlineStr">
        <is>
          <t>yes</t>
        </is>
      </c>
      <c r="H109" s="19" t="inlineStr"/>
    </row>
    <row r="110">
      <c r="A110" s="19" t="inlineStr">
        <is>
          <t>Stroke / TIA</t>
        </is>
      </c>
      <c r="B110" s="19" t="inlineStr">
        <is>
          <t>ICD10CM</t>
        </is>
      </c>
      <c r="C110" s="19" t="inlineStr">
        <is>
          <t>I63.011</t>
        </is>
      </c>
      <c r="D110" s="19" t="inlineStr">
        <is>
          <t>Cerebral infarction due to thrombosis of right vertebral artery</t>
        </is>
      </c>
      <c r="E110" s="19" t="inlineStr">
        <is>
          <t>billable</t>
        </is>
      </c>
      <c r="F110" s="19" t="inlineStr">
        <is>
          <t>ischemic</t>
        </is>
      </c>
      <c r="G110" s="19" t="inlineStr">
        <is>
          <t>yes</t>
        </is>
      </c>
      <c r="H110" s="19" t="inlineStr"/>
    </row>
    <row r="111">
      <c r="A111" s="19" t="inlineStr">
        <is>
          <t>Stroke / TIA</t>
        </is>
      </c>
      <c r="B111" s="19" t="inlineStr">
        <is>
          <t>ICD10CM</t>
        </is>
      </c>
      <c r="C111" s="19" t="inlineStr">
        <is>
          <t>I63.012</t>
        </is>
      </c>
      <c r="D111" s="19" t="inlineStr">
        <is>
          <t>Cerebral infarction due to thrombosis of left vertebral artery</t>
        </is>
      </c>
      <c r="E111" s="19" t="inlineStr">
        <is>
          <t>billable</t>
        </is>
      </c>
      <c r="F111" s="19" t="inlineStr">
        <is>
          <t>ischemic</t>
        </is>
      </c>
      <c r="G111" s="19" t="inlineStr">
        <is>
          <t>yes</t>
        </is>
      </c>
      <c r="H111" s="19" t="inlineStr"/>
    </row>
    <row r="112">
      <c r="A112" s="19" t="inlineStr">
        <is>
          <t>Stroke / TIA</t>
        </is>
      </c>
      <c r="B112" s="19" t="inlineStr">
        <is>
          <t>ICD10CM</t>
        </is>
      </c>
      <c r="C112" s="19" t="inlineStr">
        <is>
          <t>I63.013</t>
        </is>
      </c>
      <c r="D112" s="19" t="inlineStr">
        <is>
          <t>Cerebral infarction due to thrombosis of bilateral vertebral arteries</t>
        </is>
      </c>
      <c r="E112" s="19" t="inlineStr">
        <is>
          <t>billable</t>
        </is>
      </c>
      <c r="F112" s="19" t="inlineStr">
        <is>
          <t>ischemic</t>
        </is>
      </c>
      <c r="G112" s="19" t="inlineStr">
        <is>
          <t>yes</t>
        </is>
      </c>
      <c r="H112" s="19" t="inlineStr"/>
    </row>
    <row r="113">
      <c r="A113" s="19" t="inlineStr">
        <is>
          <t>Stroke / TIA</t>
        </is>
      </c>
      <c r="B113" s="19" t="inlineStr">
        <is>
          <t>ICD10CM</t>
        </is>
      </c>
      <c r="C113" s="19" t="inlineStr">
        <is>
          <t>I63.019</t>
        </is>
      </c>
      <c r="D113" s="19" t="inlineStr">
        <is>
          <t>Cerebral infarction due to thrombosis of unspecified vertebral artery</t>
        </is>
      </c>
      <c r="E113" s="19" t="inlineStr">
        <is>
          <t>billable</t>
        </is>
      </c>
      <c r="F113" s="19" t="inlineStr">
        <is>
          <t>ischemic</t>
        </is>
      </c>
      <c r="G113" s="19" t="inlineStr">
        <is>
          <t>yes</t>
        </is>
      </c>
      <c r="H113" s="19" t="inlineStr"/>
    </row>
    <row r="114">
      <c r="A114" s="19" t="inlineStr">
        <is>
          <t>Stroke / TIA</t>
        </is>
      </c>
      <c r="B114" s="19" t="inlineStr">
        <is>
          <t>ICD10CM</t>
        </is>
      </c>
      <c r="C114" s="19" t="inlineStr">
        <is>
          <t>I63.02</t>
        </is>
      </c>
      <c r="D114" s="19" t="inlineStr">
        <is>
          <t>Cerebral infarction due to thrombosis of basilar artery</t>
        </is>
      </c>
      <c r="E114" s="19" t="inlineStr">
        <is>
          <t>billable</t>
        </is>
      </c>
      <c r="F114" s="19" t="inlineStr">
        <is>
          <t>ischemic</t>
        </is>
      </c>
      <c r="G114" s="19" t="inlineStr">
        <is>
          <t>yes</t>
        </is>
      </c>
      <c r="H114" s="19" t="inlineStr"/>
    </row>
    <row r="115">
      <c r="A115" s="19" t="inlineStr">
        <is>
          <t>Stroke / TIA</t>
        </is>
      </c>
      <c r="B115" s="19" t="inlineStr">
        <is>
          <t>ICD10CM</t>
        </is>
      </c>
      <c r="C115" s="19" t="inlineStr">
        <is>
          <t>I63.03</t>
        </is>
      </c>
      <c r="D115" s="19" t="inlineStr">
        <is>
          <t>Cerebral infarction due to thrombosis of carotid artery</t>
        </is>
      </c>
      <c r="E115" s="19" t="inlineStr">
        <is>
          <t>header (not billable in FY2026; may appear in older records)</t>
        </is>
      </c>
      <c r="F115" s="19" t="inlineStr">
        <is>
          <t>ischemic</t>
        </is>
      </c>
      <c r="G115" s="19" t="inlineStr">
        <is>
          <t>yes</t>
        </is>
      </c>
      <c r="H115" s="19" t="inlineStr"/>
    </row>
    <row r="116">
      <c r="A116" s="19" t="inlineStr">
        <is>
          <t>Stroke / TIA</t>
        </is>
      </c>
      <c r="B116" s="19" t="inlineStr">
        <is>
          <t>ICD10CM</t>
        </is>
      </c>
      <c r="C116" s="19" t="inlineStr">
        <is>
          <t>I63.031</t>
        </is>
      </c>
      <c r="D116" s="19" t="inlineStr">
        <is>
          <t>Cerebral infarction due to thrombosis of right carotid artery</t>
        </is>
      </c>
      <c r="E116" s="19" t="inlineStr">
        <is>
          <t>billable</t>
        </is>
      </c>
      <c r="F116" s="19" t="inlineStr">
        <is>
          <t>ischemic</t>
        </is>
      </c>
      <c r="G116" s="19" t="inlineStr">
        <is>
          <t>yes</t>
        </is>
      </c>
      <c r="H116" s="19" t="inlineStr"/>
    </row>
    <row r="117">
      <c r="A117" s="19" t="inlineStr">
        <is>
          <t>Stroke / TIA</t>
        </is>
      </c>
      <c r="B117" s="19" t="inlineStr">
        <is>
          <t>ICD10CM</t>
        </is>
      </c>
      <c r="C117" s="19" t="inlineStr">
        <is>
          <t>I63.032</t>
        </is>
      </c>
      <c r="D117" s="19" t="inlineStr">
        <is>
          <t>Cerebral infarction due to thrombosis of left carotid artery</t>
        </is>
      </c>
      <c r="E117" s="19" t="inlineStr">
        <is>
          <t>billable</t>
        </is>
      </c>
      <c r="F117" s="19" t="inlineStr">
        <is>
          <t>ischemic</t>
        </is>
      </c>
      <c r="G117" s="19" t="inlineStr">
        <is>
          <t>yes</t>
        </is>
      </c>
      <c r="H117" s="19" t="inlineStr"/>
    </row>
    <row r="118">
      <c r="A118" s="19" t="inlineStr">
        <is>
          <t>Stroke / TIA</t>
        </is>
      </c>
      <c r="B118" s="19" t="inlineStr">
        <is>
          <t>ICD10CM</t>
        </is>
      </c>
      <c r="C118" s="19" t="inlineStr">
        <is>
          <t>I63.033</t>
        </is>
      </c>
      <c r="D118" s="19" t="inlineStr">
        <is>
          <t>Cerebral infarction due to thrombosis of bilateral carotid arteries</t>
        </is>
      </c>
      <c r="E118" s="19" t="inlineStr">
        <is>
          <t>billable</t>
        </is>
      </c>
      <c r="F118" s="19" t="inlineStr">
        <is>
          <t>ischemic</t>
        </is>
      </c>
      <c r="G118" s="19" t="inlineStr">
        <is>
          <t>yes</t>
        </is>
      </c>
      <c r="H118" s="19" t="inlineStr"/>
    </row>
    <row r="119">
      <c r="A119" s="19" t="inlineStr">
        <is>
          <t>Stroke / TIA</t>
        </is>
      </c>
      <c r="B119" s="19" t="inlineStr">
        <is>
          <t>ICD10CM</t>
        </is>
      </c>
      <c r="C119" s="19" t="inlineStr">
        <is>
          <t>I63.039</t>
        </is>
      </c>
      <c r="D119" s="19" t="inlineStr">
        <is>
          <t>Cerebral infarction due to thrombosis of unspecified carotid artery</t>
        </is>
      </c>
      <c r="E119" s="19" t="inlineStr">
        <is>
          <t>billable</t>
        </is>
      </c>
      <c r="F119" s="19" t="inlineStr">
        <is>
          <t>ischemic</t>
        </is>
      </c>
      <c r="G119" s="19" t="inlineStr">
        <is>
          <t>yes</t>
        </is>
      </c>
      <c r="H119" s="19" t="inlineStr"/>
    </row>
    <row r="120">
      <c r="A120" s="19" t="inlineStr">
        <is>
          <t>Stroke / TIA</t>
        </is>
      </c>
      <c r="B120" s="19" t="inlineStr">
        <is>
          <t>ICD10CM</t>
        </is>
      </c>
      <c r="C120" s="19" t="inlineStr">
        <is>
          <t>I63.09</t>
        </is>
      </c>
      <c r="D120" s="19" t="inlineStr">
        <is>
          <t>Cerebral infarction due to thrombosis of other precerebral artery</t>
        </is>
      </c>
      <c r="E120" s="19" t="inlineStr">
        <is>
          <t>billable</t>
        </is>
      </c>
      <c r="F120" s="19" t="inlineStr">
        <is>
          <t>ischemic</t>
        </is>
      </c>
      <c r="G120" s="19" t="inlineStr">
        <is>
          <t>yes</t>
        </is>
      </c>
      <c r="H120" s="19" t="inlineStr"/>
    </row>
    <row r="121">
      <c r="A121" s="19" t="inlineStr">
        <is>
          <t>Stroke / TIA</t>
        </is>
      </c>
      <c r="B121" s="19" t="inlineStr">
        <is>
          <t>ICD10CM</t>
        </is>
      </c>
      <c r="C121" s="19" t="inlineStr">
        <is>
          <t>I63.1</t>
        </is>
      </c>
      <c r="D121" s="19" t="inlineStr">
        <is>
          <t>Cerebral infarction due to embolism of precerebral arteries</t>
        </is>
      </c>
      <c r="E121" s="19" t="inlineStr">
        <is>
          <t>header (not billable in FY2026; may appear in older records)</t>
        </is>
      </c>
      <c r="F121" s="19" t="inlineStr">
        <is>
          <t>ischemic</t>
        </is>
      </c>
      <c r="G121" s="19" t="inlineStr">
        <is>
          <t>yes</t>
        </is>
      </c>
      <c r="H121" s="19" t="inlineStr"/>
    </row>
    <row r="122">
      <c r="A122" s="19" t="inlineStr">
        <is>
          <t>Stroke / TIA</t>
        </is>
      </c>
      <c r="B122" s="19" t="inlineStr">
        <is>
          <t>ICD10CM</t>
        </is>
      </c>
      <c r="C122" s="19" t="inlineStr">
        <is>
          <t>I63.10</t>
        </is>
      </c>
      <c r="D122" s="19" t="inlineStr">
        <is>
          <t>Cerebral infarction due to embolism of unspecified precerebral artery</t>
        </is>
      </c>
      <c r="E122" s="19" t="inlineStr">
        <is>
          <t>billable</t>
        </is>
      </c>
      <c r="F122" s="19" t="inlineStr">
        <is>
          <t>ischemic</t>
        </is>
      </c>
      <c r="G122" s="19" t="inlineStr">
        <is>
          <t>yes</t>
        </is>
      </c>
      <c r="H122" s="19" t="inlineStr"/>
    </row>
    <row r="123">
      <c r="A123" s="19" t="inlineStr">
        <is>
          <t>Stroke / TIA</t>
        </is>
      </c>
      <c r="B123" s="19" t="inlineStr">
        <is>
          <t>ICD10CM</t>
        </is>
      </c>
      <c r="C123" s="19" t="inlineStr">
        <is>
          <t>I63.11</t>
        </is>
      </c>
      <c r="D123" s="19" t="inlineStr">
        <is>
          <t>Cerebral infarction due to embolism of vertebral artery</t>
        </is>
      </c>
      <c r="E123" s="19" t="inlineStr">
        <is>
          <t>header (not billable in FY2026; may appear in older records)</t>
        </is>
      </c>
      <c r="F123" s="19" t="inlineStr">
        <is>
          <t>ischemic</t>
        </is>
      </c>
      <c r="G123" s="19" t="inlineStr">
        <is>
          <t>yes</t>
        </is>
      </c>
      <c r="H123" s="19" t="inlineStr"/>
    </row>
    <row r="124">
      <c r="A124" s="19" t="inlineStr">
        <is>
          <t>Stroke / TIA</t>
        </is>
      </c>
      <c r="B124" s="19" t="inlineStr">
        <is>
          <t>ICD10CM</t>
        </is>
      </c>
      <c r="C124" s="19" t="inlineStr">
        <is>
          <t>I63.111</t>
        </is>
      </c>
      <c r="D124" s="19" t="inlineStr">
        <is>
          <t>Cerebral infarction due to embolism of right vertebral artery</t>
        </is>
      </c>
      <c r="E124" s="19" t="inlineStr">
        <is>
          <t>billable</t>
        </is>
      </c>
      <c r="F124" s="19" t="inlineStr">
        <is>
          <t>ischemic</t>
        </is>
      </c>
      <c r="G124" s="19" t="inlineStr">
        <is>
          <t>yes</t>
        </is>
      </c>
      <c r="H124" s="19" t="inlineStr"/>
    </row>
    <row r="125">
      <c r="A125" s="19" t="inlineStr">
        <is>
          <t>Stroke / TIA</t>
        </is>
      </c>
      <c r="B125" s="19" t="inlineStr">
        <is>
          <t>ICD10CM</t>
        </is>
      </c>
      <c r="C125" s="19" t="inlineStr">
        <is>
          <t>I63.112</t>
        </is>
      </c>
      <c r="D125" s="19" t="inlineStr">
        <is>
          <t>Cerebral infarction due to embolism of left vertebral artery</t>
        </is>
      </c>
      <c r="E125" s="19" t="inlineStr">
        <is>
          <t>billable</t>
        </is>
      </c>
      <c r="F125" s="19" t="inlineStr">
        <is>
          <t>ischemic</t>
        </is>
      </c>
      <c r="G125" s="19" t="inlineStr">
        <is>
          <t>yes</t>
        </is>
      </c>
      <c r="H125" s="19" t="inlineStr"/>
    </row>
    <row r="126">
      <c r="A126" s="19" t="inlineStr">
        <is>
          <t>Stroke / TIA</t>
        </is>
      </c>
      <c r="B126" s="19" t="inlineStr">
        <is>
          <t>ICD10CM</t>
        </is>
      </c>
      <c r="C126" s="19" t="inlineStr">
        <is>
          <t>I63.113</t>
        </is>
      </c>
      <c r="D126" s="19" t="inlineStr">
        <is>
          <t>Cerebral infarction due to embolism of bilateral vertebral arteries</t>
        </is>
      </c>
      <c r="E126" s="19" t="inlineStr">
        <is>
          <t>billable</t>
        </is>
      </c>
      <c r="F126" s="19" t="inlineStr">
        <is>
          <t>ischemic</t>
        </is>
      </c>
      <c r="G126" s="19" t="inlineStr">
        <is>
          <t>yes</t>
        </is>
      </c>
      <c r="H126" s="19" t="inlineStr"/>
    </row>
    <row r="127">
      <c r="A127" s="19" t="inlineStr">
        <is>
          <t>Stroke / TIA</t>
        </is>
      </c>
      <c r="B127" s="19" t="inlineStr">
        <is>
          <t>ICD10CM</t>
        </is>
      </c>
      <c r="C127" s="19" t="inlineStr">
        <is>
          <t>I63.119</t>
        </is>
      </c>
      <c r="D127" s="19" t="inlineStr">
        <is>
          <t>Cerebral infarction due to embolism of unspecified vertebral artery</t>
        </is>
      </c>
      <c r="E127" s="19" t="inlineStr">
        <is>
          <t>billable</t>
        </is>
      </c>
      <c r="F127" s="19" t="inlineStr">
        <is>
          <t>ischemic</t>
        </is>
      </c>
      <c r="G127" s="19" t="inlineStr">
        <is>
          <t>yes</t>
        </is>
      </c>
      <c r="H127" s="19" t="inlineStr"/>
    </row>
    <row r="128">
      <c r="A128" s="19" t="inlineStr">
        <is>
          <t>Stroke / TIA</t>
        </is>
      </c>
      <c r="B128" s="19" t="inlineStr">
        <is>
          <t>ICD10CM</t>
        </is>
      </c>
      <c r="C128" s="19" t="inlineStr">
        <is>
          <t>I63.12</t>
        </is>
      </c>
      <c r="D128" s="19" t="inlineStr">
        <is>
          <t>Cerebral infarction due to embolism of basilar artery</t>
        </is>
      </c>
      <c r="E128" s="19" t="inlineStr">
        <is>
          <t>billable</t>
        </is>
      </c>
      <c r="F128" s="19" t="inlineStr">
        <is>
          <t>ischemic</t>
        </is>
      </c>
      <c r="G128" s="19" t="inlineStr">
        <is>
          <t>yes</t>
        </is>
      </c>
      <c r="H128" s="19" t="inlineStr"/>
    </row>
    <row r="129">
      <c r="A129" s="19" t="inlineStr">
        <is>
          <t>Stroke / TIA</t>
        </is>
      </c>
      <c r="B129" s="19" t="inlineStr">
        <is>
          <t>ICD10CM</t>
        </is>
      </c>
      <c r="C129" s="19" t="inlineStr">
        <is>
          <t>I63.13</t>
        </is>
      </c>
      <c r="D129" s="19" t="inlineStr">
        <is>
          <t>Cerebral infarction due to embolism of carotid artery</t>
        </is>
      </c>
      <c r="E129" s="19" t="inlineStr">
        <is>
          <t>header (not billable in FY2026; may appear in older records)</t>
        </is>
      </c>
      <c r="F129" s="19" t="inlineStr">
        <is>
          <t>ischemic</t>
        </is>
      </c>
      <c r="G129" s="19" t="inlineStr">
        <is>
          <t>yes</t>
        </is>
      </c>
      <c r="H129" s="19" t="inlineStr"/>
    </row>
    <row r="130">
      <c r="A130" s="19" t="inlineStr">
        <is>
          <t>Stroke / TIA</t>
        </is>
      </c>
      <c r="B130" s="19" t="inlineStr">
        <is>
          <t>ICD10CM</t>
        </is>
      </c>
      <c r="C130" s="19" t="inlineStr">
        <is>
          <t>I63.131</t>
        </is>
      </c>
      <c r="D130" s="19" t="inlineStr">
        <is>
          <t>Cerebral infarction due to embolism of right carotid artery</t>
        </is>
      </c>
      <c r="E130" s="19" t="inlineStr">
        <is>
          <t>billable</t>
        </is>
      </c>
      <c r="F130" s="19" t="inlineStr">
        <is>
          <t>ischemic</t>
        </is>
      </c>
      <c r="G130" s="19" t="inlineStr">
        <is>
          <t>yes</t>
        </is>
      </c>
      <c r="H130" s="19" t="inlineStr"/>
    </row>
    <row r="131">
      <c r="A131" s="19" t="inlineStr">
        <is>
          <t>Stroke / TIA</t>
        </is>
      </c>
      <c r="B131" s="19" t="inlineStr">
        <is>
          <t>ICD10CM</t>
        </is>
      </c>
      <c r="C131" s="19" t="inlineStr">
        <is>
          <t>I63.132</t>
        </is>
      </c>
      <c r="D131" s="19" t="inlineStr">
        <is>
          <t>Cerebral infarction due to embolism of left carotid artery</t>
        </is>
      </c>
      <c r="E131" s="19" t="inlineStr">
        <is>
          <t>billable</t>
        </is>
      </c>
      <c r="F131" s="19" t="inlineStr">
        <is>
          <t>ischemic</t>
        </is>
      </c>
      <c r="G131" s="19" t="inlineStr">
        <is>
          <t>yes</t>
        </is>
      </c>
      <c r="H131" s="19" t="inlineStr"/>
    </row>
    <row r="132">
      <c r="A132" s="19" t="inlineStr">
        <is>
          <t>Stroke / TIA</t>
        </is>
      </c>
      <c r="B132" s="19" t="inlineStr">
        <is>
          <t>ICD10CM</t>
        </is>
      </c>
      <c r="C132" s="19" t="inlineStr">
        <is>
          <t>I63.133</t>
        </is>
      </c>
      <c r="D132" s="19" t="inlineStr">
        <is>
          <t>Cerebral infarction due to embolism of bilateral carotid arteries</t>
        </is>
      </c>
      <c r="E132" s="19" t="inlineStr">
        <is>
          <t>billable</t>
        </is>
      </c>
      <c r="F132" s="19" t="inlineStr">
        <is>
          <t>ischemic</t>
        </is>
      </c>
      <c r="G132" s="19" t="inlineStr">
        <is>
          <t>yes</t>
        </is>
      </c>
      <c r="H132" s="19" t="inlineStr"/>
    </row>
    <row r="133">
      <c r="A133" s="19" t="inlineStr">
        <is>
          <t>Stroke / TIA</t>
        </is>
      </c>
      <c r="B133" s="19" t="inlineStr">
        <is>
          <t>ICD10CM</t>
        </is>
      </c>
      <c r="C133" s="19" t="inlineStr">
        <is>
          <t>I63.139</t>
        </is>
      </c>
      <c r="D133" s="19" t="inlineStr">
        <is>
          <t>Cerebral infarction due to embolism of unspecified carotid artery</t>
        </is>
      </c>
      <c r="E133" s="19" t="inlineStr">
        <is>
          <t>billable</t>
        </is>
      </c>
      <c r="F133" s="19" t="inlineStr">
        <is>
          <t>ischemic</t>
        </is>
      </c>
      <c r="G133" s="19" t="inlineStr">
        <is>
          <t>yes</t>
        </is>
      </c>
      <c r="H133" s="19" t="inlineStr"/>
    </row>
    <row r="134">
      <c r="A134" s="19" t="inlineStr">
        <is>
          <t>Stroke / TIA</t>
        </is>
      </c>
      <c r="B134" s="19" t="inlineStr">
        <is>
          <t>ICD10CM</t>
        </is>
      </c>
      <c r="C134" s="19" t="inlineStr">
        <is>
          <t>I63.19</t>
        </is>
      </c>
      <c r="D134" s="19" t="inlineStr">
        <is>
          <t>Cerebral infarction due to embolism of other precerebral artery</t>
        </is>
      </c>
      <c r="E134" s="19" t="inlineStr">
        <is>
          <t>billable</t>
        </is>
      </c>
      <c r="F134" s="19" t="inlineStr">
        <is>
          <t>ischemic</t>
        </is>
      </c>
      <c r="G134" s="19" t="inlineStr">
        <is>
          <t>yes</t>
        </is>
      </c>
      <c r="H134" s="19" t="inlineStr"/>
    </row>
    <row r="135">
      <c r="A135" s="19" t="inlineStr">
        <is>
          <t>Stroke / TIA</t>
        </is>
      </c>
      <c r="B135" s="19" t="inlineStr">
        <is>
          <t>ICD10CM</t>
        </is>
      </c>
      <c r="C135" s="19" t="inlineStr">
        <is>
          <t>I63.2</t>
        </is>
      </c>
      <c r="D135" s="19" t="inlineStr">
        <is>
          <t>Cerebral infarction due to unspecified occlusion or stenosis of precerebral arteries</t>
        </is>
      </c>
      <c r="E135" s="19" t="inlineStr">
        <is>
          <t>header (not billable in FY2026; may appear in older records)</t>
        </is>
      </c>
      <c r="F135" s="19" t="inlineStr">
        <is>
          <t>ischemic</t>
        </is>
      </c>
      <c r="G135" s="19" t="inlineStr">
        <is>
          <t>yes</t>
        </is>
      </c>
      <c r="H135" s="19" t="inlineStr"/>
    </row>
    <row r="136">
      <c r="A136" s="19" t="inlineStr">
        <is>
          <t>Stroke / TIA</t>
        </is>
      </c>
      <c r="B136" s="19" t="inlineStr">
        <is>
          <t>ICD10CM</t>
        </is>
      </c>
      <c r="C136" s="19" t="inlineStr">
        <is>
          <t>I63.20</t>
        </is>
      </c>
      <c r="D136" s="19" t="inlineStr">
        <is>
          <t>Cerebral infarction due to unspecified occlusion or stenosis of unspecified precerebral arteries</t>
        </is>
      </c>
      <c r="E136" s="19" t="inlineStr">
        <is>
          <t>billable</t>
        </is>
      </c>
      <c r="F136" s="19" t="inlineStr">
        <is>
          <t>ischemic</t>
        </is>
      </c>
      <c r="G136" s="19" t="inlineStr">
        <is>
          <t>yes</t>
        </is>
      </c>
      <c r="H136" s="19" t="inlineStr"/>
    </row>
    <row r="137">
      <c r="A137" s="19" t="inlineStr">
        <is>
          <t>Stroke / TIA</t>
        </is>
      </c>
      <c r="B137" s="19" t="inlineStr">
        <is>
          <t>ICD10CM</t>
        </is>
      </c>
      <c r="C137" s="19" t="inlineStr">
        <is>
          <t>I63.21</t>
        </is>
      </c>
      <c r="D137" s="19" t="inlineStr">
        <is>
          <t>Cerebral infarction due to unspecified occlusion or stenosis of vertebral arteries</t>
        </is>
      </c>
      <c r="E137" s="19" t="inlineStr">
        <is>
          <t>header (not billable in FY2026; may appear in older records)</t>
        </is>
      </c>
      <c r="F137" s="19" t="inlineStr">
        <is>
          <t>ischemic</t>
        </is>
      </c>
      <c r="G137" s="19" t="inlineStr">
        <is>
          <t>yes</t>
        </is>
      </c>
      <c r="H137" s="19" t="inlineStr"/>
    </row>
    <row r="138">
      <c r="A138" s="19" t="inlineStr">
        <is>
          <t>Stroke / TIA</t>
        </is>
      </c>
      <c r="B138" s="19" t="inlineStr">
        <is>
          <t>ICD10CM</t>
        </is>
      </c>
      <c r="C138" s="19" t="inlineStr">
        <is>
          <t>I63.211</t>
        </is>
      </c>
      <c r="D138" s="19" t="inlineStr">
        <is>
          <t>Cerebral infarction due to unspecified occlusion or stenosis of right vertebral artery</t>
        </is>
      </c>
      <c r="E138" s="19" t="inlineStr">
        <is>
          <t>billable</t>
        </is>
      </c>
      <c r="F138" s="19" t="inlineStr">
        <is>
          <t>ischemic</t>
        </is>
      </c>
      <c r="G138" s="19" t="inlineStr">
        <is>
          <t>yes</t>
        </is>
      </c>
      <c r="H138" s="19" t="inlineStr"/>
    </row>
    <row r="139">
      <c r="A139" s="19" t="inlineStr">
        <is>
          <t>Stroke / TIA</t>
        </is>
      </c>
      <c r="B139" s="19" t="inlineStr">
        <is>
          <t>ICD10CM</t>
        </is>
      </c>
      <c r="C139" s="19" t="inlineStr">
        <is>
          <t>I63.212</t>
        </is>
      </c>
      <c r="D139" s="19" t="inlineStr">
        <is>
          <t>Cerebral infarction due to unspecified occlusion or stenosis of left vertebral artery</t>
        </is>
      </c>
      <c r="E139" s="19" t="inlineStr">
        <is>
          <t>billable</t>
        </is>
      </c>
      <c r="F139" s="19" t="inlineStr">
        <is>
          <t>ischemic</t>
        </is>
      </c>
      <c r="G139" s="19" t="inlineStr">
        <is>
          <t>yes</t>
        </is>
      </c>
      <c r="H139" s="19" t="inlineStr"/>
    </row>
    <row r="140">
      <c r="A140" s="19" t="inlineStr">
        <is>
          <t>Stroke / TIA</t>
        </is>
      </c>
      <c r="B140" s="19" t="inlineStr">
        <is>
          <t>ICD10CM</t>
        </is>
      </c>
      <c r="C140" s="19" t="inlineStr">
        <is>
          <t>I63.213</t>
        </is>
      </c>
      <c r="D140" s="19" t="inlineStr">
        <is>
          <t>Cerebral infarction due to unspecified occlusion or stenosis of bilateral vertebral arteries</t>
        </is>
      </c>
      <c r="E140" s="19" t="inlineStr">
        <is>
          <t>billable</t>
        </is>
      </c>
      <c r="F140" s="19" t="inlineStr">
        <is>
          <t>ischemic</t>
        </is>
      </c>
      <c r="G140" s="19" t="inlineStr">
        <is>
          <t>yes</t>
        </is>
      </c>
      <c r="H140" s="19" t="inlineStr"/>
    </row>
    <row r="141">
      <c r="A141" s="19" t="inlineStr">
        <is>
          <t>Stroke / TIA</t>
        </is>
      </c>
      <c r="B141" s="19" t="inlineStr">
        <is>
          <t>ICD10CM</t>
        </is>
      </c>
      <c r="C141" s="19" t="inlineStr">
        <is>
          <t>I63.219</t>
        </is>
      </c>
      <c r="D141" s="19" t="inlineStr">
        <is>
          <t>Cerebral infarction due to unspecified occlusion or stenosis of unspecified vertebral artery</t>
        </is>
      </c>
      <c r="E141" s="19" t="inlineStr">
        <is>
          <t>billable</t>
        </is>
      </c>
      <c r="F141" s="19" t="inlineStr">
        <is>
          <t>ischemic</t>
        </is>
      </c>
      <c r="G141" s="19" t="inlineStr">
        <is>
          <t>yes</t>
        </is>
      </c>
      <c r="H141" s="19" t="inlineStr"/>
    </row>
    <row r="142">
      <c r="A142" s="19" t="inlineStr">
        <is>
          <t>Stroke / TIA</t>
        </is>
      </c>
      <c r="B142" s="19" t="inlineStr">
        <is>
          <t>ICD10CM</t>
        </is>
      </c>
      <c r="C142" s="19" t="inlineStr">
        <is>
          <t>I63.22</t>
        </is>
      </c>
      <c r="D142" s="19" t="inlineStr">
        <is>
          <t>Cerebral infarction due to unspecified occlusion or stenosis of basilar artery</t>
        </is>
      </c>
      <c r="E142" s="19" t="inlineStr">
        <is>
          <t>billable</t>
        </is>
      </c>
      <c r="F142" s="19" t="inlineStr">
        <is>
          <t>ischemic</t>
        </is>
      </c>
      <c r="G142" s="19" t="inlineStr">
        <is>
          <t>yes</t>
        </is>
      </c>
      <c r="H142" s="19" t="inlineStr"/>
    </row>
    <row r="143">
      <c r="A143" s="19" t="inlineStr">
        <is>
          <t>Stroke / TIA</t>
        </is>
      </c>
      <c r="B143" s="19" t="inlineStr">
        <is>
          <t>ICD10CM</t>
        </is>
      </c>
      <c r="C143" s="19" t="inlineStr">
        <is>
          <t>I63.23</t>
        </is>
      </c>
      <c r="D143" s="19" t="inlineStr">
        <is>
          <t>Cerebral infarction due to unspecified occlusion or stenosis of carotid arteries</t>
        </is>
      </c>
      <c r="E143" s="19" t="inlineStr">
        <is>
          <t>header (not billable in FY2026; may appear in older records)</t>
        </is>
      </c>
      <c r="F143" s="19" t="inlineStr">
        <is>
          <t>ischemic</t>
        </is>
      </c>
      <c r="G143" s="19" t="inlineStr">
        <is>
          <t>yes</t>
        </is>
      </c>
      <c r="H143" s="19" t="inlineStr"/>
    </row>
    <row r="144">
      <c r="A144" s="19" t="inlineStr">
        <is>
          <t>Stroke / TIA</t>
        </is>
      </c>
      <c r="B144" s="19" t="inlineStr">
        <is>
          <t>ICD10CM</t>
        </is>
      </c>
      <c r="C144" s="19" t="inlineStr">
        <is>
          <t>I63.231</t>
        </is>
      </c>
      <c r="D144" s="19" t="inlineStr">
        <is>
          <t>Cerebral infarction due to unspecified occlusion or stenosis of right carotid arteries</t>
        </is>
      </c>
      <c r="E144" s="19" t="inlineStr">
        <is>
          <t>billable</t>
        </is>
      </c>
      <c r="F144" s="19" t="inlineStr">
        <is>
          <t>ischemic</t>
        </is>
      </c>
      <c r="G144" s="19" t="inlineStr">
        <is>
          <t>yes</t>
        </is>
      </c>
      <c r="H144" s="19" t="inlineStr"/>
    </row>
    <row r="145">
      <c r="A145" s="19" t="inlineStr">
        <is>
          <t>Stroke / TIA</t>
        </is>
      </c>
      <c r="B145" s="19" t="inlineStr">
        <is>
          <t>ICD10CM</t>
        </is>
      </c>
      <c r="C145" s="19" t="inlineStr">
        <is>
          <t>I63.232</t>
        </is>
      </c>
      <c r="D145" s="19" t="inlineStr">
        <is>
          <t>Cerebral infarction due to unspecified occlusion or stenosis of left carotid arteries</t>
        </is>
      </c>
      <c r="E145" s="19" t="inlineStr">
        <is>
          <t>billable</t>
        </is>
      </c>
      <c r="F145" s="19" t="inlineStr">
        <is>
          <t>ischemic</t>
        </is>
      </c>
      <c r="G145" s="19" t="inlineStr">
        <is>
          <t>yes</t>
        </is>
      </c>
      <c r="H145" s="19" t="inlineStr"/>
    </row>
    <row r="146">
      <c r="A146" s="19" t="inlineStr">
        <is>
          <t>Stroke / TIA</t>
        </is>
      </c>
      <c r="B146" s="19" t="inlineStr">
        <is>
          <t>ICD10CM</t>
        </is>
      </c>
      <c r="C146" s="19" t="inlineStr">
        <is>
          <t>I63.233</t>
        </is>
      </c>
      <c r="D146" s="19" t="inlineStr">
        <is>
          <t>Cerebral infarction due to unspecified occlusion or stenosis of bilateral carotid arteries</t>
        </is>
      </c>
      <c r="E146" s="19" t="inlineStr">
        <is>
          <t>billable</t>
        </is>
      </c>
      <c r="F146" s="19" t="inlineStr">
        <is>
          <t>ischemic</t>
        </is>
      </c>
      <c r="G146" s="19" t="inlineStr">
        <is>
          <t>yes</t>
        </is>
      </c>
      <c r="H146" s="19" t="inlineStr"/>
    </row>
    <row r="147">
      <c r="A147" s="19" t="inlineStr">
        <is>
          <t>Stroke / TIA</t>
        </is>
      </c>
      <c r="B147" s="19" t="inlineStr">
        <is>
          <t>ICD10CM</t>
        </is>
      </c>
      <c r="C147" s="19" t="inlineStr">
        <is>
          <t>I63.239</t>
        </is>
      </c>
      <c r="D147" s="19" t="inlineStr">
        <is>
          <t>Cerebral infarction due to unspecified occlusion or stenosis of unspecified carotid artery</t>
        </is>
      </c>
      <c r="E147" s="19" t="inlineStr">
        <is>
          <t>billable</t>
        </is>
      </c>
      <c r="F147" s="19" t="inlineStr">
        <is>
          <t>ischemic</t>
        </is>
      </c>
      <c r="G147" s="19" t="inlineStr">
        <is>
          <t>yes</t>
        </is>
      </c>
      <c r="H147" s="19" t="inlineStr"/>
    </row>
    <row r="148">
      <c r="A148" s="19" t="inlineStr">
        <is>
          <t>Stroke / TIA</t>
        </is>
      </c>
      <c r="B148" s="19" t="inlineStr">
        <is>
          <t>ICD10CM</t>
        </is>
      </c>
      <c r="C148" s="19" t="inlineStr">
        <is>
          <t>I63.29</t>
        </is>
      </c>
      <c r="D148" s="19" t="inlineStr">
        <is>
          <t>Cerebral infarction due to unspecified occlusion or stenosis of other precerebral arteries</t>
        </is>
      </c>
      <c r="E148" s="19" t="inlineStr">
        <is>
          <t>billable</t>
        </is>
      </c>
      <c r="F148" s="19" t="inlineStr">
        <is>
          <t>ischemic</t>
        </is>
      </c>
      <c r="G148" s="19" t="inlineStr">
        <is>
          <t>yes</t>
        </is>
      </c>
      <c r="H148" s="19" t="inlineStr"/>
    </row>
    <row r="149">
      <c r="A149" s="19" t="inlineStr">
        <is>
          <t>Stroke / TIA</t>
        </is>
      </c>
      <c r="B149" s="19" t="inlineStr">
        <is>
          <t>ICD10CM</t>
        </is>
      </c>
      <c r="C149" s="19" t="inlineStr">
        <is>
          <t>I63.3</t>
        </is>
      </c>
      <c r="D149" s="19" t="inlineStr">
        <is>
          <t>Cerebral infarction due to thrombosis of cerebral arteries</t>
        </is>
      </c>
      <c r="E149" s="19" t="inlineStr">
        <is>
          <t>header (not billable in FY2026; may appear in older records)</t>
        </is>
      </c>
      <c r="F149" s="19" t="inlineStr">
        <is>
          <t>ischemic</t>
        </is>
      </c>
      <c r="G149" s="19" t="inlineStr">
        <is>
          <t>yes</t>
        </is>
      </c>
      <c r="H149" s="19" t="inlineStr"/>
    </row>
    <row r="150">
      <c r="A150" s="19" t="inlineStr">
        <is>
          <t>Stroke / TIA</t>
        </is>
      </c>
      <c r="B150" s="19" t="inlineStr">
        <is>
          <t>ICD10CM</t>
        </is>
      </c>
      <c r="C150" s="19" t="inlineStr">
        <is>
          <t>I63.30</t>
        </is>
      </c>
      <c r="D150" s="19" t="inlineStr">
        <is>
          <t>Cerebral infarction due to thrombosis of unspecified cerebral artery</t>
        </is>
      </c>
      <c r="E150" s="19" t="inlineStr">
        <is>
          <t>billable</t>
        </is>
      </c>
      <c r="F150" s="19" t="inlineStr">
        <is>
          <t>ischemic</t>
        </is>
      </c>
      <c r="G150" s="19" t="inlineStr">
        <is>
          <t>yes</t>
        </is>
      </c>
      <c r="H150" s="19" t="inlineStr"/>
    </row>
    <row r="151">
      <c r="A151" s="19" t="inlineStr">
        <is>
          <t>Stroke / TIA</t>
        </is>
      </c>
      <c r="B151" s="19" t="inlineStr">
        <is>
          <t>ICD10CM</t>
        </is>
      </c>
      <c r="C151" s="19" t="inlineStr">
        <is>
          <t>I63.31</t>
        </is>
      </c>
      <c r="D151" s="19" t="inlineStr">
        <is>
          <t>Cerebral infarction due to thrombosis of middle cerebral artery</t>
        </is>
      </c>
      <c r="E151" s="19" t="inlineStr">
        <is>
          <t>header (not billable in FY2026; may appear in older records)</t>
        </is>
      </c>
      <c r="F151" s="19" t="inlineStr">
        <is>
          <t>ischemic</t>
        </is>
      </c>
      <c r="G151" s="19" t="inlineStr">
        <is>
          <t>yes</t>
        </is>
      </c>
      <c r="H151" s="19" t="inlineStr"/>
    </row>
    <row r="152">
      <c r="A152" s="19" t="inlineStr">
        <is>
          <t>Stroke / TIA</t>
        </is>
      </c>
      <c r="B152" s="19" t="inlineStr">
        <is>
          <t>ICD10CM</t>
        </is>
      </c>
      <c r="C152" s="19" t="inlineStr">
        <is>
          <t>I63.311</t>
        </is>
      </c>
      <c r="D152" s="19" t="inlineStr">
        <is>
          <t>Cerebral infarction due to thrombosis of right middle cerebral artery</t>
        </is>
      </c>
      <c r="E152" s="19" t="inlineStr">
        <is>
          <t>billable</t>
        </is>
      </c>
      <c r="F152" s="19" t="inlineStr">
        <is>
          <t>ischemic</t>
        </is>
      </c>
      <c r="G152" s="19" t="inlineStr">
        <is>
          <t>yes</t>
        </is>
      </c>
      <c r="H152" s="19" t="inlineStr"/>
    </row>
    <row r="153">
      <c r="A153" s="19" t="inlineStr">
        <is>
          <t>Stroke / TIA</t>
        </is>
      </c>
      <c r="B153" s="19" t="inlineStr">
        <is>
          <t>ICD10CM</t>
        </is>
      </c>
      <c r="C153" s="19" t="inlineStr">
        <is>
          <t>I63.312</t>
        </is>
      </c>
      <c r="D153" s="19" t="inlineStr">
        <is>
          <t>Cerebral infarction due to thrombosis of left middle cerebral artery</t>
        </is>
      </c>
      <c r="E153" s="19" t="inlineStr">
        <is>
          <t>billable</t>
        </is>
      </c>
      <c r="F153" s="19" t="inlineStr">
        <is>
          <t>ischemic</t>
        </is>
      </c>
      <c r="G153" s="19" t="inlineStr">
        <is>
          <t>yes</t>
        </is>
      </c>
      <c r="H153" s="19" t="inlineStr"/>
    </row>
    <row r="154">
      <c r="A154" s="19" t="inlineStr">
        <is>
          <t>Stroke / TIA</t>
        </is>
      </c>
      <c r="B154" s="19" t="inlineStr">
        <is>
          <t>ICD10CM</t>
        </is>
      </c>
      <c r="C154" s="19" t="inlineStr">
        <is>
          <t>I63.313</t>
        </is>
      </c>
      <c r="D154" s="19" t="inlineStr">
        <is>
          <t>Cerebral infarction due to thrombosis of bilateral middle cerebral arteries</t>
        </is>
      </c>
      <c r="E154" s="19" t="inlineStr">
        <is>
          <t>billable</t>
        </is>
      </c>
      <c r="F154" s="19" t="inlineStr">
        <is>
          <t>ischemic</t>
        </is>
      </c>
      <c r="G154" s="19" t="inlineStr">
        <is>
          <t>yes</t>
        </is>
      </c>
      <c r="H154" s="19" t="inlineStr"/>
    </row>
    <row r="155">
      <c r="A155" s="19" t="inlineStr">
        <is>
          <t>Stroke / TIA</t>
        </is>
      </c>
      <c r="B155" s="19" t="inlineStr">
        <is>
          <t>ICD10CM</t>
        </is>
      </c>
      <c r="C155" s="19" t="inlineStr">
        <is>
          <t>I63.319</t>
        </is>
      </c>
      <c r="D155" s="19" t="inlineStr">
        <is>
          <t>Cerebral infarction due to thrombosis of unspecified middle cerebral artery</t>
        </is>
      </c>
      <c r="E155" s="19" t="inlineStr">
        <is>
          <t>billable</t>
        </is>
      </c>
      <c r="F155" s="19" t="inlineStr">
        <is>
          <t>ischemic</t>
        </is>
      </c>
      <c r="G155" s="19" t="inlineStr">
        <is>
          <t>yes</t>
        </is>
      </c>
      <c r="H155" s="19" t="inlineStr"/>
    </row>
    <row r="156">
      <c r="A156" s="19" t="inlineStr">
        <is>
          <t>Stroke / TIA</t>
        </is>
      </c>
      <c r="B156" s="19" t="inlineStr">
        <is>
          <t>ICD10CM</t>
        </is>
      </c>
      <c r="C156" s="19" t="inlineStr">
        <is>
          <t>I63.32</t>
        </is>
      </c>
      <c r="D156" s="19" t="inlineStr">
        <is>
          <t>Cerebral infarction due to thrombosis of anterior cerebral artery</t>
        </is>
      </c>
      <c r="E156" s="19" t="inlineStr">
        <is>
          <t>header (not billable in FY2026; may appear in older records)</t>
        </is>
      </c>
      <c r="F156" s="19" t="inlineStr">
        <is>
          <t>ischemic</t>
        </is>
      </c>
      <c r="G156" s="19" t="inlineStr">
        <is>
          <t>yes</t>
        </is>
      </c>
      <c r="H156" s="19" t="inlineStr"/>
    </row>
    <row r="157">
      <c r="A157" s="19" t="inlineStr">
        <is>
          <t>Stroke / TIA</t>
        </is>
      </c>
      <c r="B157" s="19" t="inlineStr">
        <is>
          <t>ICD10CM</t>
        </is>
      </c>
      <c r="C157" s="19" t="inlineStr">
        <is>
          <t>I63.321</t>
        </is>
      </c>
      <c r="D157" s="19" t="inlineStr">
        <is>
          <t>Cerebral infarction due to thrombosis of right anterior cerebral artery</t>
        </is>
      </c>
      <c r="E157" s="19" t="inlineStr">
        <is>
          <t>billable</t>
        </is>
      </c>
      <c r="F157" s="19" t="inlineStr">
        <is>
          <t>ischemic</t>
        </is>
      </c>
      <c r="G157" s="19" t="inlineStr">
        <is>
          <t>yes</t>
        </is>
      </c>
      <c r="H157" s="19" t="inlineStr"/>
    </row>
    <row r="158">
      <c r="A158" s="19" t="inlineStr">
        <is>
          <t>Stroke / TIA</t>
        </is>
      </c>
      <c r="B158" s="19" t="inlineStr">
        <is>
          <t>ICD10CM</t>
        </is>
      </c>
      <c r="C158" s="19" t="inlineStr">
        <is>
          <t>I63.322</t>
        </is>
      </c>
      <c r="D158" s="19" t="inlineStr">
        <is>
          <t>Cerebral infarction due to thrombosis of left anterior cerebral artery</t>
        </is>
      </c>
      <c r="E158" s="19" t="inlineStr">
        <is>
          <t>billable</t>
        </is>
      </c>
      <c r="F158" s="19" t="inlineStr">
        <is>
          <t>ischemic</t>
        </is>
      </c>
      <c r="G158" s="19" t="inlineStr">
        <is>
          <t>yes</t>
        </is>
      </c>
      <c r="H158" s="19" t="inlineStr"/>
    </row>
    <row r="159">
      <c r="A159" s="19" t="inlineStr">
        <is>
          <t>Stroke / TIA</t>
        </is>
      </c>
      <c r="B159" s="19" t="inlineStr">
        <is>
          <t>ICD10CM</t>
        </is>
      </c>
      <c r="C159" s="19" t="inlineStr">
        <is>
          <t>I63.323</t>
        </is>
      </c>
      <c r="D159" s="19" t="inlineStr">
        <is>
          <t>Cerebral infarction due to thrombosis of bilateral anterior cerebral arteries</t>
        </is>
      </c>
      <c r="E159" s="19" t="inlineStr">
        <is>
          <t>billable</t>
        </is>
      </c>
      <c r="F159" s="19" t="inlineStr">
        <is>
          <t>ischemic</t>
        </is>
      </c>
      <c r="G159" s="19" t="inlineStr">
        <is>
          <t>yes</t>
        </is>
      </c>
      <c r="H159" s="19" t="inlineStr"/>
    </row>
    <row r="160">
      <c r="A160" s="19" t="inlineStr">
        <is>
          <t>Stroke / TIA</t>
        </is>
      </c>
      <c r="B160" s="19" t="inlineStr">
        <is>
          <t>ICD10CM</t>
        </is>
      </c>
      <c r="C160" s="19" t="inlineStr">
        <is>
          <t>I63.329</t>
        </is>
      </c>
      <c r="D160" s="19" t="inlineStr">
        <is>
          <t>Cerebral infarction due to thrombosis of unspecified anterior cerebral artery</t>
        </is>
      </c>
      <c r="E160" s="19" t="inlineStr">
        <is>
          <t>billable</t>
        </is>
      </c>
      <c r="F160" s="19" t="inlineStr">
        <is>
          <t>ischemic</t>
        </is>
      </c>
      <c r="G160" s="19" t="inlineStr">
        <is>
          <t>yes</t>
        </is>
      </c>
      <c r="H160" s="19" t="inlineStr"/>
    </row>
    <row r="161">
      <c r="A161" s="19" t="inlineStr">
        <is>
          <t>Stroke / TIA</t>
        </is>
      </c>
      <c r="B161" s="19" t="inlineStr">
        <is>
          <t>ICD10CM</t>
        </is>
      </c>
      <c r="C161" s="19" t="inlineStr">
        <is>
          <t>I63.33</t>
        </is>
      </c>
      <c r="D161" s="19" t="inlineStr">
        <is>
          <t>Cerebral infarction due to thrombosis of posterior cerebral artery</t>
        </is>
      </c>
      <c r="E161" s="19" t="inlineStr">
        <is>
          <t>header (not billable in FY2026; may appear in older records)</t>
        </is>
      </c>
      <c r="F161" s="19" t="inlineStr">
        <is>
          <t>ischemic</t>
        </is>
      </c>
      <c r="G161" s="19" t="inlineStr">
        <is>
          <t>yes</t>
        </is>
      </c>
      <c r="H161" s="19" t="inlineStr"/>
    </row>
    <row r="162">
      <c r="A162" s="19" t="inlineStr">
        <is>
          <t>Stroke / TIA</t>
        </is>
      </c>
      <c r="B162" s="19" t="inlineStr">
        <is>
          <t>ICD10CM</t>
        </is>
      </c>
      <c r="C162" s="19" t="inlineStr">
        <is>
          <t>I63.331</t>
        </is>
      </c>
      <c r="D162" s="19" t="inlineStr">
        <is>
          <t>Cerebral infarction due to thrombosis of right posterior cerebral artery</t>
        </is>
      </c>
      <c r="E162" s="19" t="inlineStr">
        <is>
          <t>billable</t>
        </is>
      </c>
      <c r="F162" s="19" t="inlineStr">
        <is>
          <t>ischemic</t>
        </is>
      </c>
      <c r="G162" s="19" t="inlineStr">
        <is>
          <t>yes</t>
        </is>
      </c>
      <c r="H162" s="19" t="inlineStr"/>
    </row>
    <row r="163">
      <c r="A163" s="19" t="inlineStr">
        <is>
          <t>Stroke / TIA</t>
        </is>
      </c>
      <c r="B163" s="19" t="inlineStr">
        <is>
          <t>ICD10CM</t>
        </is>
      </c>
      <c r="C163" s="19" t="inlineStr">
        <is>
          <t>I63.332</t>
        </is>
      </c>
      <c r="D163" s="19" t="inlineStr">
        <is>
          <t>Cerebral infarction due to thrombosis of left posterior cerebral artery</t>
        </is>
      </c>
      <c r="E163" s="19" t="inlineStr">
        <is>
          <t>billable</t>
        </is>
      </c>
      <c r="F163" s="19" t="inlineStr">
        <is>
          <t>ischemic</t>
        </is>
      </c>
      <c r="G163" s="19" t="inlineStr">
        <is>
          <t>yes</t>
        </is>
      </c>
      <c r="H163" s="19" t="inlineStr"/>
    </row>
    <row r="164">
      <c r="A164" s="19" t="inlineStr">
        <is>
          <t>Stroke / TIA</t>
        </is>
      </c>
      <c r="B164" s="19" t="inlineStr">
        <is>
          <t>ICD10CM</t>
        </is>
      </c>
      <c r="C164" s="19" t="inlineStr">
        <is>
          <t>I63.333</t>
        </is>
      </c>
      <c r="D164" s="19" t="inlineStr">
        <is>
          <t>Cerebral infarction due to thrombosis of bilateral posterior cerebral arteries</t>
        </is>
      </c>
      <c r="E164" s="19" t="inlineStr">
        <is>
          <t>billable</t>
        </is>
      </c>
      <c r="F164" s="19" t="inlineStr">
        <is>
          <t>ischemic</t>
        </is>
      </c>
      <c r="G164" s="19" t="inlineStr">
        <is>
          <t>yes</t>
        </is>
      </c>
      <c r="H164" s="19" t="inlineStr"/>
    </row>
    <row r="165">
      <c r="A165" s="19" t="inlineStr">
        <is>
          <t>Stroke / TIA</t>
        </is>
      </c>
      <c r="B165" s="19" t="inlineStr">
        <is>
          <t>ICD10CM</t>
        </is>
      </c>
      <c r="C165" s="19" t="inlineStr">
        <is>
          <t>I63.339</t>
        </is>
      </c>
      <c r="D165" s="19" t="inlineStr">
        <is>
          <t>Cerebral infarction due to thrombosis of unspecified posterior cerebral artery</t>
        </is>
      </c>
      <c r="E165" s="19" t="inlineStr">
        <is>
          <t>billable</t>
        </is>
      </c>
      <c r="F165" s="19" t="inlineStr">
        <is>
          <t>ischemic</t>
        </is>
      </c>
      <c r="G165" s="19" t="inlineStr">
        <is>
          <t>yes</t>
        </is>
      </c>
      <c r="H165" s="19" t="inlineStr"/>
    </row>
    <row r="166">
      <c r="A166" s="19" t="inlineStr">
        <is>
          <t>Stroke / TIA</t>
        </is>
      </c>
      <c r="B166" s="19" t="inlineStr">
        <is>
          <t>ICD10CM</t>
        </is>
      </c>
      <c r="C166" s="19" t="inlineStr">
        <is>
          <t>I63.34</t>
        </is>
      </c>
      <c r="D166" s="19" t="inlineStr">
        <is>
          <t>Cerebral infarction due to thrombosis of cerebellar artery</t>
        </is>
      </c>
      <c r="E166" s="19" t="inlineStr">
        <is>
          <t>header (not billable in FY2026; may appear in older records)</t>
        </is>
      </c>
      <c r="F166" s="19" t="inlineStr">
        <is>
          <t>ischemic</t>
        </is>
      </c>
      <c r="G166" s="19" t="inlineStr">
        <is>
          <t>yes</t>
        </is>
      </c>
      <c r="H166" s="19" t="inlineStr"/>
    </row>
    <row r="167">
      <c r="A167" s="19" t="inlineStr">
        <is>
          <t>Stroke / TIA</t>
        </is>
      </c>
      <c r="B167" s="19" t="inlineStr">
        <is>
          <t>ICD10CM</t>
        </is>
      </c>
      <c r="C167" s="19" t="inlineStr">
        <is>
          <t>I63.341</t>
        </is>
      </c>
      <c r="D167" s="19" t="inlineStr">
        <is>
          <t>Cerebral infarction due to thrombosis of right cerebellar artery</t>
        </is>
      </c>
      <c r="E167" s="19" t="inlineStr">
        <is>
          <t>billable</t>
        </is>
      </c>
      <c r="F167" s="19" t="inlineStr">
        <is>
          <t>ischemic</t>
        </is>
      </c>
      <c r="G167" s="19" t="inlineStr">
        <is>
          <t>yes</t>
        </is>
      </c>
      <c r="H167" s="19" t="inlineStr"/>
    </row>
    <row r="168">
      <c r="A168" s="19" t="inlineStr">
        <is>
          <t>Stroke / TIA</t>
        </is>
      </c>
      <c r="B168" s="19" t="inlineStr">
        <is>
          <t>ICD10CM</t>
        </is>
      </c>
      <c r="C168" s="19" t="inlineStr">
        <is>
          <t>I63.342</t>
        </is>
      </c>
      <c r="D168" s="19" t="inlineStr">
        <is>
          <t>Cerebral infarction due to thrombosis of left cerebellar artery</t>
        </is>
      </c>
      <c r="E168" s="19" t="inlineStr">
        <is>
          <t>billable</t>
        </is>
      </c>
      <c r="F168" s="19" t="inlineStr">
        <is>
          <t>ischemic</t>
        </is>
      </c>
      <c r="G168" s="19" t="inlineStr">
        <is>
          <t>yes</t>
        </is>
      </c>
      <c r="H168" s="19" t="inlineStr"/>
    </row>
    <row r="169">
      <c r="A169" s="19" t="inlineStr">
        <is>
          <t>Stroke / TIA</t>
        </is>
      </c>
      <c r="B169" s="19" t="inlineStr">
        <is>
          <t>ICD10CM</t>
        </is>
      </c>
      <c r="C169" s="19" t="inlineStr">
        <is>
          <t>I63.343</t>
        </is>
      </c>
      <c r="D169" s="19" t="inlineStr">
        <is>
          <t>Cerebral infarction due to thrombosis of bilateral cerebellar arteries</t>
        </is>
      </c>
      <c r="E169" s="19" t="inlineStr">
        <is>
          <t>billable</t>
        </is>
      </c>
      <c r="F169" s="19" t="inlineStr">
        <is>
          <t>ischemic</t>
        </is>
      </c>
      <c r="G169" s="19" t="inlineStr">
        <is>
          <t>yes</t>
        </is>
      </c>
      <c r="H169" s="19" t="inlineStr"/>
    </row>
    <row r="170">
      <c r="A170" s="19" t="inlineStr">
        <is>
          <t>Stroke / TIA</t>
        </is>
      </c>
      <c r="B170" s="19" t="inlineStr">
        <is>
          <t>ICD10CM</t>
        </is>
      </c>
      <c r="C170" s="19" t="inlineStr">
        <is>
          <t>I63.349</t>
        </is>
      </c>
      <c r="D170" s="19" t="inlineStr">
        <is>
          <t>Cerebral infarction due to thrombosis of unspecified cerebellar artery</t>
        </is>
      </c>
      <c r="E170" s="19" t="inlineStr">
        <is>
          <t>billable</t>
        </is>
      </c>
      <c r="F170" s="19" t="inlineStr">
        <is>
          <t>ischemic</t>
        </is>
      </c>
      <c r="G170" s="19" t="inlineStr">
        <is>
          <t>yes</t>
        </is>
      </c>
      <c r="H170" s="19" t="inlineStr"/>
    </row>
    <row r="171">
      <c r="A171" s="19" t="inlineStr">
        <is>
          <t>Stroke / TIA</t>
        </is>
      </c>
      <c r="B171" s="19" t="inlineStr">
        <is>
          <t>ICD10CM</t>
        </is>
      </c>
      <c r="C171" s="19" t="inlineStr">
        <is>
          <t>I63.39</t>
        </is>
      </c>
      <c r="D171" s="19" t="inlineStr">
        <is>
          <t>Cerebral infarction due to thrombosis of other cerebral artery</t>
        </is>
      </c>
      <c r="E171" s="19" t="inlineStr">
        <is>
          <t>billable</t>
        </is>
      </c>
      <c r="F171" s="19" t="inlineStr">
        <is>
          <t>ischemic</t>
        </is>
      </c>
      <c r="G171" s="19" t="inlineStr">
        <is>
          <t>yes</t>
        </is>
      </c>
      <c r="H171" s="19" t="inlineStr"/>
    </row>
    <row r="172">
      <c r="A172" s="19" t="inlineStr">
        <is>
          <t>Stroke / TIA</t>
        </is>
      </c>
      <c r="B172" s="19" t="inlineStr">
        <is>
          <t>ICD10CM</t>
        </is>
      </c>
      <c r="C172" s="19" t="inlineStr">
        <is>
          <t>I63.4</t>
        </is>
      </c>
      <c r="D172" s="19" t="inlineStr">
        <is>
          <t>Cerebral infarction due to embolism of cerebral arteries</t>
        </is>
      </c>
      <c r="E172" s="19" t="inlineStr">
        <is>
          <t>header (not billable in FY2026; may appear in older records)</t>
        </is>
      </c>
      <c r="F172" s="19" t="inlineStr">
        <is>
          <t>ischemic</t>
        </is>
      </c>
      <c r="G172" s="19" t="inlineStr">
        <is>
          <t>yes</t>
        </is>
      </c>
      <c r="H172" s="19" t="inlineStr"/>
    </row>
    <row r="173">
      <c r="A173" s="19" t="inlineStr">
        <is>
          <t>Stroke / TIA</t>
        </is>
      </c>
      <c r="B173" s="19" t="inlineStr">
        <is>
          <t>ICD10CM</t>
        </is>
      </c>
      <c r="C173" s="19" t="inlineStr">
        <is>
          <t>I63.40</t>
        </is>
      </c>
      <c r="D173" s="19" t="inlineStr">
        <is>
          <t>Cerebral infarction due to embolism of unspecified cerebral artery</t>
        </is>
      </c>
      <c r="E173" s="19" t="inlineStr">
        <is>
          <t>billable</t>
        </is>
      </c>
      <c r="F173" s="19" t="inlineStr">
        <is>
          <t>ischemic</t>
        </is>
      </c>
      <c r="G173" s="19" t="inlineStr">
        <is>
          <t>yes</t>
        </is>
      </c>
      <c r="H173" s="19" t="inlineStr"/>
    </row>
    <row r="174">
      <c r="A174" s="19" t="inlineStr">
        <is>
          <t>Stroke / TIA</t>
        </is>
      </c>
      <c r="B174" s="19" t="inlineStr">
        <is>
          <t>ICD10CM</t>
        </is>
      </c>
      <c r="C174" s="19" t="inlineStr">
        <is>
          <t>I63.41</t>
        </is>
      </c>
      <c r="D174" s="19" t="inlineStr">
        <is>
          <t>Cerebral infarction due to embolism of middle cerebral artery</t>
        </is>
      </c>
      <c r="E174" s="19" t="inlineStr">
        <is>
          <t>header (not billable in FY2026; may appear in older records)</t>
        </is>
      </c>
      <c r="F174" s="19" t="inlineStr">
        <is>
          <t>ischemic</t>
        </is>
      </c>
      <c r="G174" s="19" t="inlineStr">
        <is>
          <t>yes</t>
        </is>
      </c>
      <c r="H174" s="19" t="inlineStr"/>
    </row>
    <row r="175">
      <c r="A175" s="19" t="inlineStr">
        <is>
          <t>Stroke / TIA</t>
        </is>
      </c>
      <c r="B175" s="19" t="inlineStr">
        <is>
          <t>ICD10CM</t>
        </is>
      </c>
      <c r="C175" s="19" t="inlineStr">
        <is>
          <t>I63.411</t>
        </is>
      </c>
      <c r="D175" s="19" t="inlineStr">
        <is>
          <t>Cerebral infarction due to embolism of right middle cerebral artery</t>
        </is>
      </c>
      <c r="E175" s="19" t="inlineStr">
        <is>
          <t>billable</t>
        </is>
      </c>
      <c r="F175" s="19" t="inlineStr">
        <is>
          <t>ischemic</t>
        </is>
      </c>
      <c r="G175" s="19" t="inlineStr">
        <is>
          <t>yes</t>
        </is>
      </c>
      <c r="H175" s="19" t="inlineStr"/>
    </row>
    <row r="176">
      <c r="A176" s="19" t="inlineStr">
        <is>
          <t>Stroke / TIA</t>
        </is>
      </c>
      <c r="B176" s="19" t="inlineStr">
        <is>
          <t>ICD10CM</t>
        </is>
      </c>
      <c r="C176" s="19" t="inlineStr">
        <is>
          <t>I63.412</t>
        </is>
      </c>
      <c r="D176" s="19" t="inlineStr">
        <is>
          <t>Cerebral infarction due to embolism of left middle cerebral artery</t>
        </is>
      </c>
      <c r="E176" s="19" t="inlineStr">
        <is>
          <t>billable</t>
        </is>
      </c>
      <c r="F176" s="19" t="inlineStr">
        <is>
          <t>ischemic</t>
        </is>
      </c>
      <c r="G176" s="19" t="inlineStr">
        <is>
          <t>yes</t>
        </is>
      </c>
      <c r="H176" s="19" t="inlineStr"/>
    </row>
    <row r="177">
      <c r="A177" s="19" t="inlineStr">
        <is>
          <t>Stroke / TIA</t>
        </is>
      </c>
      <c r="B177" s="19" t="inlineStr">
        <is>
          <t>ICD10CM</t>
        </is>
      </c>
      <c r="C177" s="19" t="inlineStr">
        <is>
          <t>I63.413</t>
        </is>
      </c>
      <c r="D177" s="19" t="inlineStr">
        <is>
          <t>Cerebral infarction due to embolism of bilateral middle cerebral arteries</t>
        </is>
      </c>
      <c r="E177" s="19" t="inlineStr">
        <is>
          <t>billable</t>
        </is>
      </c>
      <c r="F177" s="19" t="inlineStr">
        <is>
          <t>ischemic</t>
        </is>
      </c>
      <c r="G177" s="19" t="inlineStr">
        <is>
          <t>yes</t>
        </is>
      </c>
      <c r="H177" s="19" t="inlineStr"/>
    </row>
    <row r="178">
      <c r="A178" s="19" t="inlineStr">
        <is>
          <t>Stroke / TIA</t>
        </is>
      </c>
      <c r="B178" s="19" t="inlineStr">
        <is>
          <t>ICD10CM</t>
        </is>
      </c>
      <c r="C178" s="19" t="inlineStr">
        <is>
          <t>I63.419</t>
        </is>
      </c>
      <c r="D178" s="19" t="inlineStr">
        <is>
          <t>Cerebral infarction due to embolism of unspecified middle cerebral artery</t>
        </is>
      </c>
      <c r="E178" s="19" t="inlineStr">
        <is>
          <t>billable</t>
        </is>
      </c>
      <c r="F178" s="19" t="inlineStr">
        <is>
          <t>ischemic</t>
        </is>
      </c>
      <c r="G178" s="19" t="inlineStr">
        <is>
          <t>yes</t>
        </is>
      </c>
      <c r="H178" s="19" t="inlineStr"/>
    </row>
    <row r="179">
      <c r="A179" s="19" t="inlineStr">
        <is>
          <t>Stroke / TIA</t>
        </is>
      </c>
      <c r="B179" s="19" t="inlineStr">
        <is>
          <t>ICD10CM</t>
        </is>
      </c>
      <c r="C179" s="19" t="inlineStr">
        <is>
          <t>I63.42</t>
        </is>
      </c>
      <c r="D179" s="19" t="inlineStr">
        <is>
          <t>Cerebral infarction due to embolism of anterior cerebral artery</t>
        </is>
      </c>
      <c r="E179" s="19" t="inlineStr">
        <is>
          <t>header (not billable in FY2026; may appear in older records)</t>
        </is>
      </c>
      <c r="F179" s="19" t="inlineStr">
        <is>
          <t>ischemic</t>
        </is>
      </c>
      <c r="G179" s="19" t="inlineStr">
        <is>
          <t>yes</t>
        </is>
      </c>
      <c r="H179" s="19" t="inlineStr"/>
    </row>
    <row r="180">
      <c r="A180" s="19" t="inlineStr">
        <is>
          <t>Stroke / TIA</t>
        </is>
      </c>
      <c r="B180" s="19" t="inlineStr">
        <is>
          <t>ICD10CM</t>
        </is>
      </c>
      <c r="C180" s="19" t="inlineStr">
        <is>
          <t>I63.421</t>
        </is>
      </c>
      <c r="D180" s="19" t="inlineStr">
        <is>
          <t>Cerebral infarction due to embolism of right anterior cerebral artery</t>
        </is>
      </c>
      <c r="E180" s="19" t="inlineStr">
        <is>
          <t>billable</t>
        </is>
      </c>
      <c r="F180" s="19" t="inlineStr">
        <is>
          <t>ischemic</t>
        </is>
      </c>
      <c r="G180" s="19" t="inlineStr">
        <is>
          <t>yes</t>
        </is>
      </c>
      <c r="H180" s="19" t="inlineStr"/>
    </row>
    <row r="181">
      <c r="A181" s="19" t="inlineStr">
        <is>
          <t>Stroke / TIA</t>
        </is>
      </c>
      <c r="B181" s="19" t="inlineStr">
        <is>
          <t>ICD10CM</t>
        </is>
      </c>
      <c r="C181" s="19" t="inlineStr">
        <is>
          <t>I63.422</t>
        </is>
      </c>
      <c r="D181" s="19" t="inlineStr">
        <is>
          <t>Cerebral infarction due to embolism of left anterior cerebral artery</t>
        </is>
      </c>
      <c r="E181" s="19" t="inlineStr">
        <is>
          <t>billable</t>
        </is>
      </c>
      <c r="F181" s="19" t="inlineStr">
        <is>
          <t>ischemic</t>
        </is>
      </c>
      <c r="G181" s="19" t="inlineStr">
        <is>
          <t>yes</t>
        </is>
      </c>
      <c r="H181" s="19" t="inlineStr"/>
    </row>
    <row r="182">
      <c r="A182" s="19" t="inlineStr">
        <is>
          <t>Stroke / TIA</t>
        </is>
      </c>
      <c r="B182" s="19" t="inlineStr">
        <is>
          <t>ICD10CM</t>
        </is>
      </c>
      <c r="C182" s="19" t="inlineStr">
        <is>
          <t>I63.423</t>
        </is>
      </c>
      <c r="D182" s="19" t="inlineStr">
        <is>
          <t>Cerebral infarction due to embolism of bilateral anterior cerebral arteries</t>
        </is>
      </c>
      <c r="E182" s="19" t="inlineStr">
        <is>
          <t>billable</t>
        </is>
      </c>
      <c r="F182" s="19" t="inlineStr">
        <is>
          <t>ischemic</t>
        </is>
      </c>
      <c r="G182" s="19" t="inlineStr">
        <is>
          <t>yes</t>
        </is>
      </c>
      <c r="H182" s="19" t="inlineStr"/>
    </row>
    <row r="183">
      <c r="A183" s="19" t="inlineStr">
        <is>
          <t>Stroke / TIA</t>
        </is>
      </c>
      <c r="B183" s="19" t="inlineStr">
        <is>
          <t>ICD10CM</t>
        </is>
      </c>
      <c r="C183" s="19" t="inlineStr">
        <is>
          <t>I63.429</t>
        </is>
      </c>
      <c r="D183" s="19" t="inlineStr">
        <is>
          <t>Cerebral infarction due to embolism of unspecified anterior cerebral artery</t>
        </is>
      </c>
      <c r="E183" s="19" t="inlineStr">
        <is>
          <t>billable</t>
        </is>
      </c>
      <c r="F183" s="19" t="inlineStr">
        <is>
          <t>ischemic</t>
        </is>
      </c>
      <c r="G183" s="19" t="inlineStr">
        <is>
          <t>yes</t>
        </is>
      </c>
      <c r="H183" s="19" t="inlineStr"/>
    </row>
    <row r="184">
      <c r="A184" s="19" t="inlineStr">
        <is>
          <t>Stroke / TIA</t>
        </is>
      </c>
      <c r="B184" s="19" t="inlineStr">
        <is>
          <t>ICD10CM</t>
        </is>
      </c>
      <c r="C184" s="19" t="inlineStr">
        <is>
          <t>I63.43</t>
        </is>
      </c>
      <c r="D184" s="19" t="inlineStr">
        <is>
          <t>Cerebral infarction due to embolism of posterior cerebral artery</t>
        </is>
      </c>
      <c r="E184" s="19" t="inlineStr">
        <is>
          <t>header (not billable in FY2026; may appear in older records)</t>
        </is>
      </c>
      <c r="F184" s="19" t="inlineStr">
        <is>
          <t>ischemic</t>
        </is>
      </c>
      <c r="G184" s="19" t="inlineStr">
        <is>
          <t>yes</t>
        </is>
      </c>
      <c r="H184" s="19" t="inlineStr"/>
    </row>
    <row r="185">
      <c r="A185" s="19" t="inlineStr">
        <is>
          <t>Stroke / TIA</t>
        </is>
      </c>
      <c r="B185" s="19" t="inlineStr">
        <is>
          <t>ICD10CM</t>
        </is>
      </c>
      <c r="C185" s="19" t="inlineStr">
        <is>
          <t>I63.431</t>
        </is>
      </c>
      <c r="D185" s="19" t="inlineStr">
        <is>
          <t>Cerebral infarction due to embolism of right posterior cerebral artery</t>
        </is>
      </c>
      <c r="E185" s="19" t="inlineStr">
        <is>
          <t>billable</t>
        </is>
      </c>
      <c r="F185" s="19" t="inlineStr">
        <is>
          <t>ischemic</t>
        </is>
      </c>
      <c r="G185" s="19" t="inlineStr">
        <is>
          <t>yes</t>
        </is>
      </c>
      <c r="H185" s="19" t="inlineStr"/>
    </row>
    <row r="186">
      <c r="A186" s="19" t="inlineStr">
        <is>
          <t>Stroke / TIA</t>
        </is>
      </c>
      <c r="B186" s="19" t="inlineStr">
        <is>
          <t>ICD10CM</t>
        </is>
      </c>
      <c r="C186" s="19" t="inlineStr">
        <is>
          <t>I63.432</t>
        </is>
      </c>
      <c r="D186" s="19" t="inlineStr">
        <is>
          <t>Cerebral infarction due to embolism of left posterior cerebral artery</t>
        </is>
      </c>
      <c r="E186" s="19" t="inlineStr">
        <is>
          <t>billable</t>
        </is>
      </c>
      <c r="F186" s="19" t="inlineStr">
        <is>
          <t>ischemic</t>
        </is>
      </c>
      <c r="G186" s="19" t="inlineStr">
        <is>
          <t>yes</t>
        </is>
      </c>
      <c r="H186" s="19" t="inlineStr"/>
    </row>
    <row r="187">
      <c r="A187" s="19" t="inlineStr">
        <is>
          <t>Stroke / TIA</t>
        </is>
      </c>
      <c r="B187" s="19" t="inlineStr">
        <is>
          <t>ICD10CM</t>
        </is>
      </c>
      <c r="C187" s="19" t="inlineStr">
        <is>
          <t>I63.433</t>
        </is>
      </c>
      <c r="D187" s="19" t="inlineStr">
        <is>
          <t>Cerebral infarction due to embolism of bilateral posterior cerebral arteries</t>
        </is>
      </c>
      <c r="E187" s="19" t="inlineStr">
        <is>
          <t>billable</t>
        </is>
      </c>
      <c r="F187" s="19" t="inlineStr">
        <is>
          <t>ischemic</t>
        </is>
      </c>
      <c r="G187" s="19" t="inlineStr">
        <is>
          <t>yes</t>
        </is>
      </c>
      <c r="H187" s="19" t="inlineStr"/>
    </row>
    <row r="188">
      <c r="A188" s="19" t="inlineStr">
        <is>
          <t>Stroke / TIA</t>
        </is>
      </c>
      <c r="B188" s="19" t="inlineStr">
        <is>
          <t>ICD10CM</t>
        </is>
      </c>
      <c r="C188" s="19" t="inlineStr">
        <is>
          <t>I63.439</t>
        </is>
      </c>
      <c r="D188" s="19" t="inlineStr">
        <is>
          <t>Cerebral infarction due to embolism of unspecified posterior cerebral artery</t>
        </is>
      </c>
      <c r="E188" s="19" t="inlineStr">
        <is>
          <t>billable</t>
        </is>
      </c>
      <c r="F188" s="19" t="inlineStr">
        <is>
          <t>ischemic</t>
        </is>
      </c>
      <c r="G188" s="19" t="inlineStr">
        <is>
          <t>yes</t>
        </is>
      </c>
      <c r="H188" s="19" t="inlineStr"/>
    </row>
    <row r="189">
      <c r="A189" s="19" t="inlineStr">
        <is>
          <t>Stroke / TIA</t>
        </is>
      </c>
      <c r="B189" s="19" t="inlineStr">
        <is>
          <t>ICD10CM</t>
        </is>
      </c>
      <c r="C189" s="19" t="inlineStr">
        <is>
          <t>I63.44</t>
        </is>
      </c>
      <c r="D189" s="19" t="inlineStr">
        <is>
          <t>Cerebral infarction due to embolism of cerebellar artery</t>
        </is>
      </c>
      <c r="E189" s="19" t="inlineStr">
        <is>
          <t>header (not billable in FY2026; may appear in older records)</t>
        </is>
      </c>
      <c r="F189" s="19" t="inlineStr">
        <is>
          <t>ischemic</t>
        </is>
      </c>
      <c r="G189" s="19" t="inlineStr">
        <is>
          <t>yes</t>
        </is>
      </c>
      <c r="H189" s="19" t="inlineStr"/>
    </row>
    <row r="190">
      <c r="A190" s="19" t="inlineStr">
        <is>
          <t>Stroke / TIA</t>
        </is>
      </c>
      <c r="B190" s="19" t="inlineStr">
        <is>
          <t>ICD10CM</t>
        </is>
      </c>
      <c r="C190" s="19" t="inlineStr">
        <is>
          <t>I63.441</t>
        </is>
      </c>
      <c r="D190" s="19" t="inlineStr">
        <is>
          <t>Cerebral infarction due to embolism of right cerebellar artery</t>
        </is>
      </c>
      <c r="E190" s="19" t="inlineStr">
        <is>
          <t>billable</t>
        </is>
      </c>
      <c r="F190" s="19" t="inlineStr">
        <is>
          <t>ischemic</t>
        </is>
      </c>
      <c r="G190" s="19" t="inlineStr">
        <is>
          <t>yes</t>
        </is>
      </c>
      <c r="H190" s="19" t="inlineStr"/>
    </row>
    <row r="191">
      <c r="A191" s="19" t="inlineStr">
        <is>
          <t>Stroke / TIA</t>
        </is>
      </c>
      <c r="B191" s="19" t="inlineStr">
        <is>
          <t>ICD10CM</t>
        </is>
      </c>
      <c r="C191" s="19" t="inlineStr">
        <is>
          <t>I63.442</t>
        </is>
      </c>
      <c r="D191" s="19" t="inlineStr">
        <is>
          <t>Cerebral infarction due to embolism of left cerebellar artery</t>
        </is>
      </c>
      <c r="E191" s="19" t="inlineStr">
        <is>
          <t>billable</t>
        </is>
      </c>
      <c r="F191" s="19" t="inlineStr">
        <is>
          <t>ischemic</t>
        </is>
      </c>
      <c r="G191" s="19" t="inlineStr">
        <is>
          <t>yes</t>
        </is>
      </c>
      <c r="H191" s="19" t="inlineStr"/>
    </row>
    <row r="192">
      <c r="A192" s="19" t="inlineStr">
        <is>
          <t>Stroke / TIA</t>
        </is>
      </c>
      <c r="B192" s="19" t="inlineStr">
        <is>
          <t>ICD10CM</t>
        </is>
      </c>
      <c r="C192" s="19" t="inlineStr">
        <is>
          <t>I63.443</t>
        </is>
      </c>
      <c r="D192" s="19" t="inlineStr">
        <is>
          <t>Cerebral infarction due to embolism of bilateral cerebellar arteries</t>
        </is>
      </c>
      <c r="E192" s="19" t="inlineStr">
        <is>
          <t>billable</t>
        </is>
      </c>
      <c r="F192" s="19" t="inlineStr">
        <is>
          <t>ischemic</t>
        </is>
      </c>
      <c r="G192" s="19" t="inlineStr">
        <is>
          <t>yes</t>
        </is>
      </c>
      <c r="H192" s="19" t="inlineStr"/>
    </row>
    <row r="193">
      <c r="A193" s="19" t="inlineStr">
        <is>
          <t>Stroke / TIA</t>
        </is>
      </c>
      <c r="B193" s="19" t="inlineStr">
        <is>
          <t>ICD10CM</t>
        </is>
      </c>
      <c r="C193" s="19" t="inlineStr">
        <is>
          <t>I63.449</t>
        </is>
      </c>
      <c r="D193" s="19" t="inlineStr">
        <is>
          <t>Cerebral infarction due to embolism of unspecified cerebellar artery</t>
        </is>
      </c>
      <c r="E193" s="19" t="inlineStr">
        <is>
          <t>billable</t>
        </is>
      </c>
      <c r="F193" s="19" t="inlineStr">
        <is>
          <t>ischemic</t>
        </is>
      </c>
      <c r="G193" s="19" t="inlineStr">
        <is>
          <t>yes</t>
        </is>
      </c>
      <c r="H193" s="19" t="inlineStr"/>
    </row>
    <row r="194">
      <c r="A194" s="19" t="inlineStr">
        <is>
          <t>Stroke / TIA</t>
        </is>
      </c>
      <c r="B194" s="19" t="inlineStr">
        <is>
          <t>ICD10CM</t>
        </is>
      </c>
      <c r="C194" s="19" t="inlineStr">
        <is>
          <t>I63.49</t>
        </is>
      </c>
      <c r="D194" s="19" t="inlineStr">
        <is>
          <t>Cerebral infarction due to embolism of other cerebral artery</t>
        </is>
      </c>
      <c r="E194" s="19" t="inlineStr">
        <is>
          <t>billable</t>
        </is>
      </c>
      <c r="F194" s="19" t="inlineStr">
        <is>
          <t>ischemic</t>
        </is>
      </c>
      <c r="G194" s="19" t="inlineStr">
        <is>
          <t>yes</t>
        </is>
      </c>
      <c r="H194" s="19" t="inlineStr"/>
    </row>
    <row r="195">
      <c r="A195" s="19" t="inlineStr">
        <is>
          <t>Stroke / TIA</t>
        </is>
      </c>
      <c r="B195" s="19" t="inlineStr">
        <is>
          <t>ICD10CM</t>
        </is>
      </c>
      <c r="C195" s="19" t="inlineStr">
        <is>
          <t>I63.5</t>
        </is>
      </c>
      <c r="D195" s="19" t="inlineStr">
        <is>
          <t>Cerebral infarction due to unspecified occlusion or stenosis of cerebral arteries</t>
        </is>
      </c>
      <c r="E195" s="19" t="inlineStr">
        <is>
          <t>header (not billable in FY2026; may appear in older records)</t>
        </is>
      </c>
      <c r="F195" s="19" t="inlineStr">
        <is>
          <t>ischemic</t>
        </is>
      </c>
      <c r="G195" s="19" t="inlineStr">
        <is>
          <t>yes</t>
        </is>
      </c>
      <c r="H195" s="19" t="inlineStr"/>
    </row>
    <row r="196">
      <c r="A196" s="19" t="inlineStr">
        <is>
          <t>Stroke / TIA</t>
        </is>
      </c>
      <c r="B196" s="19" t="inlineStr">
        <is>
          <t>ICD10CM</t>
        </is>
      </c>
      <c r="C196" s="19" t="inlineStr">
        <is>
          <t>I63.50</t>
        </is>
      </c>
      <c r="D196" s="19" t="inlineStr">
        <is>
          <t>Cerebral infarction due to unspecified occlusion or stenosis of unspecified cerebral artery</t>
        </is>
      </c>
      <c r="E196" s="19" t="inlineStr">
        <is>
          <t>billable</t>
        </is>
      </c>
      <c r="F196" s="19" t="inlineStr">
        <is>
          <t>ischemic</t>
        </is>
      </c>
      <c r="G196" s="19" t="inlineStr">
        <is>
          <t>yes</t>
        </is>
      </c>
      <c r="H196" s="19" t="inlineStr"/>
    </row>
    <row r="197">
      <c r="A197" s="19" t="inlineStr">
        <is>
          <t>Stroke / TIA</t>
        </is>
      </c>
      <c r="B197" s="19" t="inlineStr">
        <is>
          <t>ICD10CM</t>
        </is>
      </c>
      <c r="C197" s="19" t="inlineStr">
        <is>
          <t>I63.51</t>
        </is>
      </c>
      <c r="D197" s="19" t="inlineStr">
        <is>
          <t>Cerebral infarction due to unspecified occlusion or stenosis of middle cerebral artery</t>
        </is>
      </c>
      <c r="E197" s="19" t="inlineStr">
        <is>
          <t>header (not billable in FY2026; may appear in older records)</t>
        </is>
      </c>
      <c r="F197" s="19" t="inlineStr">
        <is>
          <t>ischemic</t>
        </is>
      </c>
      <c r="G197" s="19" t="inlineStr">
        <is>
          <t>yes</t>
        </is>
      </c>
      <c r="H197" s="19" t="inlineStr"/>
    </row>
    <row r="198">
      <c r="A198" s="19" t="inlineStr">
        <is>
          <t>Stroke / TIA</t>
        </is>
      </c>
      <c r="B198" s="19" t="inlineStr">
        <is>
          <t>ICD10CM</t>
        </is>
      </c>
      <c r="C198" s="19" t="inlineStr">
        <is>
          <t>I63.511</t>
        </is>
      </c>
      <c r="D198" s="19" t="inlineStr">
        <is>
          <t>Cerebral infarction due to unspecified occlusion or stenosis of right middle cerebral artery</t>
        </is>
      </c>
      <c r="E198" s="19" t="inlineStr">
        <is>
          <t>billable</t>
        </is>
      </c>
      <c r="F198" s="19" t="inlineStr">
        <is>
          <t>ischemic</t>
        </is>
      </c>
      <c r="G198" s="19" t="inlineStr">
        <is>
          <t>yes</t>
        </is>
      </c>
      <c r="H198" s="19" t="inlineStr"/>
    </row>
    <row r="199">
      <c r="A199" s="19" t="inlineStr">
        <is>
          <t>Stroke / TIA</t>
        </is>
      </c>
      <c r="B199" s="19" t="inlineStr">
        <is>
          <t>ICD10CM</t>
        </is>
      </c>
      <c r="C199" s="19" t="inlineStr">
        <is>
          <t>I63.512</t>
        </is>
      </c>
      <c r="D199" s="19" t="inlineStr">
        <is>
          <t>Cerebral infarction due to unspecified occlusion or stenosis of left middle cerebral artery</t>
        </is>
      </c>
      <c r="E199" s="19" t="inlineStr">
        <is>
          <t>billable</t>
        </is>
      </c>
      <c r="F199" s="19" t="inlineStr">
        <is>
          <t>ischemic</t>
        </is>
      </c>
      <c r="G199" s="19" t="inlineStr">
        <is>
          <t>yes</t>
        </is>
      </c>
      <c r="H199" s="19" t="inlineStr"/>
    </row>
    <row r="200">
      <c r="A200" s="19" t="inlineStr">
        <is>
          <t>Stroke / TIA</t>
        </is>
      </c>
      <c r="B200" s="19" t="inlineStr">
        <is>
          <t>ICD10CM</t>
        </is>
      </c>
      <c r="C200" s="19" t="inlineStr">
        <is>
          <t>I63.513</t>
        </is>
      </c>
      <c r="D200" s="19" t="inlineStr">
        <is>
          <t>Cerebral infarction due to unspecified occlusion or stenosis of bilateral middle cerebral arteries</t>
        </is>
      </c>
      <c r="E200" s="19" t="inlineStr">
        <is>
          <t>billable</t>
        </is>
      </c>
      <c r="F200" s="19" t="inlineStr">
        <is>
          <t>ischemic</t>
        </is>
      </c>
      <c r="G200" s="19" t="inlineStr">
        <is>
          <t>yes</t>
        </is>
      </c>
      <c r="H200" s="19" t="inlineStr"/>
    </row>
    <row r="201">
      <c r="A201" s="19" t="inlineStr">
        <is>
          <t>Stroke / TIA</t>
        </is>
      </c>
      <c r="B201" s="19" t="inlineStr">
        <is>
          <t>ICD10CM</t>
        </is>
      </c>
      <c r="C201" s="19" t="inlineStr">
        <is>
          <t>I63.519</t>
        </is>
      </c>
      <c r="D201" s="19" t="inlineStr">
        <is>
          <t>Cerebral infarction due to unspecified occlusion or stenosis of unspecified middle cerebral artery</t>
        </is>
      </c>
      <c r="E201" s="19" t="inlineStr">
        <is>
          <t>billable</t>
        </is>
      </c>
      <c r="F201" s="19" t="inlineStr">
        <is>
          <t>ischemic</t>
        </is>
      </c>
      <c r="G201" s="19" t="inlineStr">
        <is>
          <t>yes</t>
        </is>
      </c>
      <c r="H201" s="19" t="inlineStr"/>
    </row>
    <row r="202">
      <c r="A202" s="19" t="inlineStr">
        <is>
          <t>Stroke / TIA</t>
        </is>
      </c>
      <c r="B202" s="19" t="inlineStr">
        <is>
          <t>ICD10CM</t>
        </is>
      </c>
      <c r="C202" s="19" t="inlineStr">
        <is>
          <t>I63.52</t>
        </is>
      </c>
      <c r="D202" s="19" t="inlineStr">
        <is>
          <t>Cerebral infarction due to unspecified occlusion or stenosis of anterior cerebral artery</t>
        </is>
      </c>
      <c r="E202" s="19" t="inlineStr">
        <is>
          <t>header (not billable in FY2026; may appear in older records)</t>
        </is>
      </c>
      <c r="F202" s="19" t="inlineStr">
        <is>
          <t>ischemic</t>
        </is>
      </c>
      <c r="G202" s="19" t="inlineStr">
        <is>
          <t>yes</t>
        </is>
      </c>
      <c r="H202" s="19" t="inlineStr"/>
    </row>
    <row r="203">
      <c r="A203" s="19" t="inlineStr">
        <is>
          <t>Stroke / TIA</t>
        </is>
      </c>
      <c r="B203" s="19" t="inlineStr">
        <is>
          <t>ICD10CM</t>
        </is>
      </c>
      <c r="C203" s="19" t="inlineStr">
        <is>
          <t>I63.521</t>
        </is>
      </c>
      <c r="D203" s="19" t="inlineStr">
        <is>
          <t>Cerebral infarction due to unspecified occlusion or stenosis of right anterior cerebral artery</t>
        </is>
      </c>
      <c r="E203" s="19" t="inlineStr">
        <is>
          <t>billable</t>
        </is>
      </c>
      <c r="F203" s="19" t="inlineStr">
        <is>
          <t>ischemic</t>
        </is>
      </c>
      <c r="G203" s="19" t="inlineStr">
        <is>
          <t>yes</t>
        </is>
      </c>
      <c r="H203" s="19" t="inlineStr"/>
    </row>
    <row r="204">
      <c r="A204" s="19" t="inlineStr">
        <is>
          <t>Stroke / TIA</t>
        </is>
      </c>
      <c r="B204" s="19" t="inlineStr">
        <is>
          <t>ICD10CM</t>
        </is>
      </c>
      <c r="C204" s="19" t="inlineStr">
        <is>
          <t>I63.522</t>
        </is>
      </c>
      <c r="D204" s="19" t="inlineStr">
        <is>
          <t>Cerebral infarction due to unspecified occlusion or stenosis of left anterior cerebral artery</t>
        </is>
      </c>
      <c r="E204" s="19" t="inlineStr">
        <is>
          <t>billable</t>
        </is>
      </c>
      <c r="F204" s="19" t="inlineStr">
        <is>
          <t>ischemic</t>
        </is>
      </c>
      <c r="G204" s="19" t="inlineStr">
        <is>
          <t>yes</t>
        </is>
      </c>
      <c r="H204" s="19" t="inlineStr"/>
    </row>
    <row r="205">
      <c r="A205" s="19" t="inlineStr">
        <is>
          <t>Stroke / TIA</t>
        </is>
      </c>
      <c r="B205" s="19" t="inlineStr">
        <is>
          <t>ICD10CM</t>
        </is>
      </c>
      <c r="C205" s="19" t="inlineStr">
        <is>
          <t>I63.523</t>
        </is>
      </c>
      <c r="D205" s="19" t="inlineStr">
        <is>
          <t>Cerebral infarction due to unspecified occlusion or stenosis of bilateral anterior cerebral arteries</t>
        </is>
      </c>
      <c r="E205" s="19" t="inlineStr">
        <is>
          <t>billable</t>
        </is>
      </c>
      <c r="F205" s="19" t="inlineStr">
        <is>
          <t>ischemic</t>
        </is>
      </c>
      <c r="G205" s="19" t="inlineStr">
        <is>
          <t>yes</t>
        </is>
      </c>
      <c r="H205" s="19" t="inlineStr"/>
    </row>
    <row r="206">
      <c r="A206" s="19" t="inlineStr">
        <is>
          <t>Stroke / TIA</t>
        </is>
      </c>
      <c r="B206" s="19" t="inlineStr">
        <is>
          <t>ICD10CM</t>
        </is>
      </c>
      <c r="C206" s="19" t="inlineStr">
        <is>
          <t>I63.529</t>
        </is>
      </c>
      <c r="D206" s="19" t="inlineStr">
        <is>
          <t>Cerebral infarction due to unspecified occlusion or stenosis of unspecified anterior cerebral artery</t>
        </is>
      </c>
      <c r="E206" s="19" t="inlineStr">
        <is>
          <t>billable</t>
        </is>
      </c>
      <c r="F206" s="19" t="inlineStr">
        <is>
          <t>ischemic</t>
        </is>
      </c>
      <c r="G206" s="19" t="inlineStr">
        <is>
          <t>yes</t>
        </is>
      </c>
      <c r="H206" s="19" t="inlineStr"/>
    </row>
    <row r="207">
      <c r="A207" s="19" t="inlineStr">
        <is>
          <t>Stroke / TIA</t>
        </is>
      </c>
      <c r="B207" s="19" t="inlineStr">
        <is>
          <t>ICD10CM</t>
        </is>
      </c>
      <c r="C207" s="19" t="inlineStr">
        <is>
          <t>I63.53</t>
        </is>
      </c>
      <c r="D207" s="19" t="inlineStr">
        <is>
          <t>Cerebral infarction due to unspecified occlusion or stenosis of posterior cerebral artery</t>
        </is>
      </c>
      <c r="E207" s="19" t="inlineStr">
        <is>
          <t>header (not billable in FY2026; may appear in older records)</t>
        </is>
      </c>
      <c r="F207" s="19" t="inlineStr">
        <is>
          <t>ischemic</t>
        </is>
      </c>
      <c r="G207" s="19" t="inlineStr">
        <is>
          <t>yes</t>
        </is>
      </c>
      <c r="H207" s="19" t="inlineStr"/>
    </row>
    <row r="208">
      <c r="A208" s="19" t="inlineStr">
        <is>
          <t>Stroke / TIA</t>
        </is>
      </c>
      <c r="B208" s="19" t="inlineStr">
        <is>
          <t>ICD10CM</t>
        </is>
      </c>
      <c r="C208" s="19" t="inlineStr">
        <is>
          <t>I63.531</t>
        </is>
      </c>
      <c r="D208" s="19" t="inlineStr">
        <is>
          <t>Cerebral infarction due to unspecified occlusion or stenosis of right posterior cerebral artery</t>
        </is>
      </c>
      <c r="E208" s="19" t="inlineStr">
        <is>
          <t>billable</t>
        </is>
      </c>
      <c r="F208" s="19" t="inlineStr">
        <is>
          <t>ischemic</t>
        </is>
      </c>
      <c r="G208" s="19" t="inlineStr">
        <is>
          <t>yes</t>
        </is>
      </c>
      <c r="H208" s="19" t="inlineStr"/>
    </row>
    <row r="209">
      <c r="A209" s="19" t="inlineStr">
        <is>
          <t>Stroke / TIA</t>
        </is>
      </c>
      <c r="B209" s="19" t="inlineStr">
        <is>
          <t>ICD10CM</t>
        </is>
      </c>
      <c r="C209" s="19" t="inlineStr">
        <is>
          <t>I63.532</t>
        </is>
      </c>
      <c r="D209" s="19" t="inlineStr">
        <is>
          <t>Cerebral infarction due to unspecified occlusion or stenosis of left posterior cerebral artery</t>
        </is>
      </c>
      <c r="E209" s="19" t="inlineStr">
        <is>
          <t>billable</t>
        </is>
      </c>
      <c r="F209" s="19" t="inlineStr">
        <is>
          <t>ischemic</t>
        </is>
      </c>
      <c r="G209" s="19" t="inlineStr">
        <is>
          <t>yes</t>
        </is>
      </c>
      <c r="H209" s="19" t="inlineStr"/>
    </row>
    <row r="210">
      <c r="A210" s="19" t="inlineStr">
        <is>
          <t>Stroke / TIA</t>
        </is>
      </c>
      <c r="B210" s="19" t="inlineStr">
        <is>
          <t>ICD10CM</t>
        </is>
      </c>
      <c r="C210" s="19" t="inlineStr">
        <is>
          <t>I63.533</t>
        </is>
      </c>
      <c r="D210" s="19" t="inlineStr">
        <is>
          <t>Cerebral infarction due to unspecified occlusion or stenosis of bilateral posterior cerebral arteries</t>
        </is>
      </c>
      <c r="E210" s="19" t="inlineStr">
        <is>
          <t>billable</t>
        </is>
      </c>
      <c r="F210" s="19" t="inlineStr">
        <is>
          <t>ischemic</t>
        </is>
      </c>
      <c r="G210" s="19" t="inlineStr">
        <is>
          <t>yes</t>
        </is>
      </c>
      <c r="H210" s="19" t="inlineStr"/>
    </row>
    <row r="211">
      <c r="A211" s="19" t="inlineStr">
        <is>
          <t>Stroke / TIA</t>
        </is>
      </c>
      <c r="B211" s="19" t="inlineStr">
        <is>
          <t>ICD10CM</t>
        </is>
      </c>
      <c r="C211" s="19" t="inlineStr">
        <is>
          <t>I63.539</t>
        </is>
      </c>
      <c r="D211" s="19" t="inlineStr">
        <is>
          <t>Cerebral infarction due to unspecified occlusion or stenosis of unspecified posterior cerebral artery</t>
        </is>
      </c>
      <c r="E211" s="19" t="inlineStr">
        <is>
          <t>billable</t>
        </is>
      </c>
      <c r="F211" s="19" t="inlineStr">
        <is>
          <t>ischemic</t>
        </is>
      </c>
      <c r="G211" s="19" t="inlineStr">
        <is>
          <t>yes</t>
        </is>
      </c>
      <c r="H211" s="19" t="inlineStr"/>
    </row>
    <row r="212">
      <c r="A212" s="19" t="inlineStr">
        <is>
          <t>Stroke / TIA</t>
        </is>
      </c>
      <c r="B212" s="19" t="inlineStr">
        <is>
          <t>ICD10CM</t>
        </is>
      </c>
      <c r="C212" s="19" t="inlineStr">
        <is>
          <t>I63.54</t>
        </is>
      </c>
      <c r="D212" s="19" t="inlineStr">
        <is>
          <t>Cerebral infarction due to unspecified occlusion or stenosis of cerebellar artery</t>
        </is>
      </c>
      <c r="E212" s="19" t="inlineStr">
        <is>
          <t>header (not billable in FY2026; may appear in older records)</t>
        </is>
      </c>
      <c r="F212" s="19" t="inlineStr">
        <is>
          <t>ischemic</t>
        </is>
      </c>
      <c r="G212" s="19" t="inlineStr">
        <is>
          <t>yes</t>
        </is>
      </c>
      <c r="H212" s="19" t="inlineStr"/>
    </row>
    <row r="213">
      <c r="A213" s="19" t="inlineStr">
        <is>
          <t>Stroke / TIA</t>
        </is>
      </c>
      <c r="B213" s="19" t="inlineStr">
        <is>
          <t>ICD10CM</t>
        </is>
      </c>
      <c r="C213" s="19" t="inlineStr">
        <is>
          <t>I63.541</t>
        </is>
      </c>
      <c r="D213" s="19" t="inlineStr">
        <is>
          <t>Cerebral infarction due to unspecified occlusion or stenosis of right cerebellar artery</t>
        </is>
      </c>
      <c r="E213" s="19" t="inlineStr">
        <is>
          <t>billable</t>
        </is>
      </c>
      <c r="F213" s="19" t="inlineStr">
        <is>
          <t>ischemic</t>
        </is>
      </c>
      <c r="G213" s="19" t="inlineStr">
        <is>
          <t>yes</t>
        </is>
      </c>
      <c r="H213" s="19" t="inlineStr"/>
    </row>
    <row r="214">
      <c r="A214" s="19" t="inlineStr">
        <is>
          <t>Stroke / TIA</t>
        </is>
      </c>
      <c r="B214" s="19" t="inlineStr">
        <is>
          <t>ICD10CM</t>
        </is>
      </c>
      <c r="C214" s="19" t="inlineStr">
        <is>
          <t>I63.542</t>
        </is>
      </c>
      <c r="D214" s="19" t="inlineStr">
        <is>
          <t>Cerebral infarction due to unspecified occlusion or stenosis of left cerebellar artery</t>
        </is>
      </c>
      <c r="E214" s="19" t="inlineStr">
        <is>
          <t>billable</t>
        </is>
      </c>
      <c r="F214" s="19" t="inlineStr">
        <is>
          <t>ischemic</t>
        </is>
      </c>
      <c r="G214" s="19" t="inlineStr">
        <is>
          <t>yes</t>
        </is>
      </c>
      <c r="H214" s="19" t="inlineStr"/>
    </row>
    <row r="215">
      <c r="A215" s="19" t="inlineStr">
        <is>
          <t>Stroke / TIA</t>
        </is>
      </c>
      <c r="B215" s="19" t="inlineStr">
        <is>
          <t>ICD10CM</t>
        </is>
      </c>
      <c r="C215" s="19" t="inlineStr">
        <is>
          <t>I63.543</t>
        </is>
      </c>
      <c r="D215" s="19" t="inlineStr">
        <is>
          <t>Cerebral infarction due to unspecified occlusion or stenosis of bilateral cerebellar arteries</t>
        </is>
      </c>
      <c r="E215" s="19" t="inlineStr">
        <is>
          <t>billable</t>
        </is>
      </c>
      <c r="F215" s="19" t="inlineStr">
        <is>
          <t>ischemic</t>
        </is>
      </c>
      <c r="G215" s="19" t="inlineStr">
        <is>
          <t>yes</t>
        </is>
      </c>
      <c r="H215" s="19" t="inlineStr"/>
    </row>
    <row r="216">
      <c r="A216" s="19" t="inlineStr">
        <is>
          <t>Stroke / TIA</t>
        </is>
      </c>
      <c r="B216" s="19" t="inlineStr">
        <is>
          <t>ICD10CM</t>
        </is>
      </c>
      <c r="C216" s="19" t="inlineStr">
        <is>
          <t>I63.549</t>
        </is>
      </c>
      <c r="D216" s="19" t="inlineStr">
        <is>
          <t>Cerebral infarction due to unspecified occlusion or stenosis of unspecified cerebellar artery</t>
        </is>
      </c>
      <c r="E216" s="19" t="inlineStr">
        <is>
          <t>billable</t>
        </is>
      </c>
      <c r="F216" s="19" t="inlineStr">
        <is>
          <t>ischemic</t>
        </is>
      </c>
      <c r="G216" s="19" t="inlineStr">
        <is>
          <t>yes</t>
        </is>
      </c>
      <c r="H216" s="19" t="inlineStr"/>
    </row>
    <row r="217">
      <c r="A217" s="19" t="inlineStr">
        <is>
          <t>Stroke / TIA</t>
        </is>
      </c>
      <c r="B217" s="19" t="inlineStr">
        <is>
          <t>ICD10CM</t>
        </is>
      </c>
      <c r="C217" s="19" t="inlineStr">
        <is>
          <t>I63.59</t>
        </is>
      </c>
      <c r="D217" s="19" t="inlineStr">
        <is>
          <t>Cerebral infarction due to unspecified occlusion or stenosis of other cerebral artery</t>
        </is>
      </c>
      <c r="E217" s="19" t="inlineStr">
        <is>
          <t>billable</t>
        </is>
      </c>
      <c r="F217" s="19" t="inlineStr">
        <is>
          <t>ischemic</t>
        </is>
      </c>
      <c r="G217" s="19" t="inlineStr">
        <is>
          <t>yes</t>
        </is>
      </c>
      <c r="H217" s="19" t="inlineStr"/>
    </row>
    <row r="218">
      <c r="A218" s="19" t="inlineStr">
        <is>
          <t>Stroke / TIA</t>
        </is>
      </c>
      <c r="B218" s="19" t="inlineStr">
        <is>
          <t>ICD10CM</t>
        </is>
      </c>
      <c r="C218" s="19" t="inlineStr">
        <is>
          <t>I63.6</t>
        </is>
      </c>
      <c r="D218" s="19" t="inlineStr">
        <is>
          <t>Cerebral infarction due to cerebral venous thrombosis, nonpyogenic</t>
        </is>
      </c>
      <c r="E218" s="19" t="inlineStr">
        <is>
          <t>billable</t>
        </is>
      </c>
      <c r="F218" s="19" t="inlineStr">
        <is>
          <t>ischemic</t>
        </is>
      </c>
      <c r="G218" s="19" t="inlineStr">
        <is>
          <t>yes</t>
        </is>
      </c>
      <c r="H218" s="19" t="inlineStr"/>
    </row>
    <row r="219">
      <c r="A219" s="19" t="inlineStr">
        <is>
          <t>Stroke / TIA</t>
        </is>
      </c>
      <c r="B219" s="19" t="inlineStr">
        <is>
          <t>ICD10CM</t>
        </is>
      </c>
      <c r="C219" s="19" t="inlineStr">
        <is>
          <t>I63.8</t>
        </is>
      </c>
      <c r="D219" s="19" t="inlineStr">
        <is>
          <t>Other cerebral infarction</t>
        </is>
      </c>
      <c r="E219" s="19" t="inlineStr">
        <is>
          <t>header (not billable in FY2026; may appear in older records)</t>
        </is>
      </c>
      <c r="F219" s="19" t="inlineStr">
        <is>
          <t>ischemic</t>
        </is>
      </c>
      <c r="G219" s="19" t="inlineStr">
        <is>
          <t>yes</t>
        </is>
      </c>
      <c r="H219" s="19" t="inlineStr"/>
    </row>
    <row r="220">
      <c r="A220" s="19" t="inlineStr">
        <is>
          <t>Stroke / TIA</t>
        </is>
      </c>
      <c r="B220" s="19" t="inlineStr">
        <is>
          <t>ICD10CM</t>
        </is>
      </c>
      <c r="C220" s="19" t="inlineStr">
        <is>
          <t>I63.81</t>
        </is>
      </c>
      <c r="D220" s="19" t="inlineStr">
        <is>
          <t>Other cerebral infarction due to occlusion or stenosis of small artery</t>
        </is>
      </c>
      <c r="E220" s="19" t="inlineStr">
        <is>
          <t>billable</t>
        </is>
      </c>
      <c r="F220" s="19" t="inlineStr">
        <is>
          <t>ischemic</t>
        </is>
      </c>
      <c r="G220" s="19" t="inlineStr">
        <is>
          <t>yes</t>
        </is>
      </c>
      <c r="H220" s="19" t="inlineStr"/>
    </row>
    <row r="221">
      <c r="A221" s="19" t="inlineStr">
        <is>
          <t>Stroke / TIA</t>
        </is>
      </c>
      <c r="B221" s="19" t="inlineStr">
        <is>
          <t>ICD10CM</t>
        </is>
      </c>
      <c r="C221" s="19" t="inlineStr">
        <is>
          <t>I63.89</t>
        </is>
      </c>
      <c r="D221" s="19" t="inlineStr">
        <is>
          <t>Other cerebral infarction</t>
        </is>
      </c>
      <c r="E221" s="19" t="inlineStr">
        <is>
          <t>billable</t>
        </is>
      </c>
      <c r="F221" s="19" t="inlineStr">
        <is>
          <t>ischemic</t>
        </is>
      </c>
      <c r="G221" s="19" t="inlineStr">
        <is>
          <t>yes</t>
        </is>
      </c>
      <c r="H221" s="19" t="inlineStr"/>
    </row>
    <row r="222">
      <c r="A222" s="19" t="inlineStr">
        <is>
          <t>Stroke / TIA</t>
        </is>
      </c>
      <c r="B222" s="19" t="inlineStr">
        <is>
          <t>ICD10CM</t>
        </is>
      </c>
      <c r="C222" s="19" t="inlineStr">
        <is>
          <t>I63.9</t>
        </is>
      </c>
      <c r="D222" s="19" t="inlineStr">
        <is>
          <t>Cerebral infarction, unspecified</t>
        </is>
      </c>
      <c r="E222" s="19" t="inlineStr">
        <is>
          <t>billable</t>
        </is>
      </c>
      <c r="F222" s="19" t="inlineStr">
        <is>
          <t>ischemic</t>
        </is>
      </c>
      <c r="G222" s="19" t="inlineStr">
        <is>
          <t>yes</t>
        </is>
      </c>
      <c r="H222" s="19" t="inlineStr"/>
    </row>
    <row r="223">
      <c r="A223" s="19" t="inlineStr">
        <is>
          <t>Stroke / TIA</t>
        </is>
      </c>
      <c r="B223" s="19" t="inlineStr">
        <is>
          <t>ICD9CM</t>
        </is>
      </c>
      <c r="C223" s="19" t="inlineStr">
        <is>
          <t>430</t>
        </is>
      </c>
      <c r="D223" s="19" t="inlineStr">
        <is>
          <t>Subarachnoid hemorrhage</t>
        </is>
      </c>
      <c r="E223" s="19" t="inlineStr">
        <is>
          <t>billable</t>
        </is>
      </c>
      <c r="F223" s="19" t="inlineStr">
        <is>
          <t>hemorrhagic</t>
        </is>
      </c>
      <c r="G223" s="19" t="inlineStr">
        <is>
          <t>yes</t>
        </is>
      </c>
      <c r="H223" s="19" t="inlineStr"/>
    </row>
    <row r="224">
      <c r="A224" s="19" t="inlineStr">
        <is>
          <t>Stroke / TIA</t>
        </is>
      </c>
      <c r="B224" s="19" t="inlineStr">
        <is>
          <t>ICD9CM</t>
        </is>
      </c>
      <c r="C224" s="19" t="inlineStr">
        <is>
          <t>431</t>
        </is>
      </c>
      <c r="D224" s="19" t="inlineStr">
        <is>
          <t>Intracerebral hemorrhage</t>
        </is>
      </c>
      <c r="E224" s="19" t="inlineStr">
        <is>
          <t>billable</t>
        </is>
      </c>
      <c r="F224" s="19" t="inlineStr">
        <is>
          <t>hemorrhagic</t>
        </is>
      </c>
      <c r="G224" s="19" t="inlineStr">
        <is>
          <t>yes</t>
        </is>
      </c>
      <c r="H224" s="19" t="inlineStr"/>
    </row>
    <row r="225">
      <c r="A225" s="27" t="inlineStr">
        <is>
          <t>Stroke / TIA</t>
        </is>
      </c>
      <c r="B225" s="27" t="inlineStr">
        <is>
          <t>ICD9CM</t>
        </is>
      </c>
      <c r="C225" s="27" t="inlineStr">
        <is>
          <t>432.0</t>
        </is>
      </c>
      <c r="D225" s="27" t="inlineStr">
        <is>
          <t>Nontraumatic extradural hemorrhage</t>
        </is>
      </c>
      <c r="E225" s="27" t="inlineStr">
        <is>
          <t>billable</t>
        </is>
      </c>
      <c r="F225" s="27" t="inlineStr">
        <is>
          <t>hemorrhagic</t>
        </is>
      </c>
      <c r="G225" s="27" t="inlineStr">
        <is>
          <t>no</t>
        </is>
      </c>
      <c r="H225" s="27" t="inlineStr">
        <is>
          <t>Nontraumatic extradural hemorrhage: not a stroke under the AHA/ASA 2013 definition</t>
        </is>
      </c>
    </row>
    <row r="226">
      <c r="A226" s="27" t="inlineStr">
        <is>
          <t>Stroke / TIA</t>
        </is>
      </c>
      <c r="B226" s="27" t="inlineStr">
        <is>
          <t>ICD9CM</t>
        </is>
      </c>
      <c r="C226" s="27" t="inlineStr">
        <is>
          <t>432.1</t>
        </is>
      </c>
      <c r="D226" s="27" t="inlineStr">
        <is>
          <t>Subdural hemorrhage</t>
        </is>
      </c>
      <c r="E226" s="27" t="inlineStr">
        <is>
          <t>billable</t>
        </is>
      </c>
      <c r="F226" s="27" t="inlineStr">
        <is>
          <t>hemorrhagic</t>
        </is>
      </c>
      <c r="G226" s="27" t="inlineStr">
        <is>
          <t>no</t>
        </is>
      </c>
      <c r="H226" s="27" t="inlineStr">
        <is>
          <t>Subdural hemorrhage: not a stroke under the AHA/ASA 2013 definition</t>
        </is>
      </c>
    </row>
    <row r="227">
      <c r="A227" s="19" t="inlineStr">
        <is>
          <t>Stroke / TIA</t>
        </is>
      </c>
      <c r="B227" s="19" t="inlineStr">
        <is>
          <t>ICD9CM</t>
        </is>
      </c>
      <c r="C227" s="19" t="inlineStr">
        <is>
          <t>432.9</t>
        </is>
      </c>
      <c r="D227" s="19" t="inlineStr">
        <is>
          <t>Unspecified intracranial hemorrhage</t>
        </is>
      </c>
      <c r="E227" s="19" t="inlineStr">
        <is>
          <t>billable</t>
        </is>
      </c>
      <c r="F227" s="19" t="inlineStr">
        <is>
          <t>hemorrhagic</t>
        </is>
      </c>
      <c r="G227" s="19" t="inlineStr">
        <is>
          <t>yes</t>
        </is>
      </c>
      <c r="H227" s="19" t="inlineStr"/>
    </row>
    <row r="228">
      <c r="A228" s="19" t="inlineStr">
        <is>
          <t>Stroke / TIA</t>
        </is>
      </c>
      <c r="B228" s="19" t="inlineStr">
        <is>
          <t>ICD9CM</t>
        </is>
      </c>
      <c r="C228" s="19" t="inlineStr">
        <is>
          <t>433.01</t>
        </is>
      </c>
      <c r="D228" s="19" t="inlineStr">
        <is>
          <t>Occlusion and stenosis of basilar artery with cerebral infarction</t>
        </is>
      </c>
      <c r="E228" s="19" t="inlineStr">
        <is>
          <t>billable</t>
        </is>
      </c>
      <c r="F228" s="19" t="inlineStr">
        <is>
          <t>ischemic</t>
        </is>
      </c>
      <c r="G228" s="19" t="inlineStr">
        <is>
          <t>yes</t>
        </is>
      </c>
      <c r="H228" s="19" t="inlineStr"/>
    </row>
    <row r="229">
      <c r="A229" s="19" t="inlineStr">
        <is>
          <t>Stroke / TIA</t>
        </is>
      </c>
      <c r="B229" s="19" t="inlineStr">
        <is>
          <t>ICD9CM</t>
        </is>
      </c>
      <c r="C229" s="19" t="inlineStr">
        <is>
          <t>433.11</t>
        </is>
      </c>
      <c r="D229" s="19" t="inlineStr">
        <is>
          <t>Occlusion and stenosis of carotid artery with cerebral infarction</t>
        </is>
      </c>
      <c r="E229" s="19" t="inlineStr">
        <is>
          <t>billable</t>
        </is>
      </c>
      <c r="F229" s="19" t="inlineStr">
        <is>
          <t>ischemic</t>
        </is>
      </c>
      <c r="G229" s="19" t="inlineStr">
        <is>
          <t>yes</t>
        </is>
      </c>
      <c r="H229" s="19" t="inlineStr"/>
    </row>
    <row r="230">
      <c r="A230" s="19" t="inlineStr">
        <is>
          <t>Stroke / TIA</t>
        </is>
      </c>
      <c r="B230" s="19" t="inlineStr">
        <is>
          <t>ICD9CM</t>
        </is>
      </c>
      <c r="C230" s="19" t="inlineStr">
        <is>
          <t>433.21</t>
        </is>
      </c>
      <c r="D230" s="19" t="inlineStr">
        <is>
          <t>Occlusion and stenosis of vertebral artery with cerebral infarction</t>
        </is>
      </c>
      <c r="E230" s="19" t="inlineStr">
        <is>
          <t>billable</t>
        </is>
      </c>
      <c r="F230" s="19" t="inlineStr">
        <is>
          <t>ischemic</t>
        </is>
      </c>
      <c r="G230" s="19" t="inlineStr">
        <is>
          <t>yes</t>
        </is>
      </c>
      <c r="H230" s="19" t="inlineStr"/>
    </row>
    <row r="231">
      <c r="A231" s="19" t="inlineStr">
        <is>
          <t>Stroke / TIA</t>
        </is>
      </c>
      <c r="B231" s="19" t="inlineStr">
        <is>
          <t>ICD9CM</t>
        </is>
      </c>
      <c r="C231" s="19" t="inlineStr">
        <is>
          <t>433.31</t>
        </is>
      </c>
      <c r="D231" s="19" t="inlineStr">
        <is>
          <t>Occlusion and stenosis of multiple and bilateral precerebral arteries with cerebral infarction</t>
        </is>
      </c>
      <c r="E231" s="19" t="inlineStr">
        <is>
          <t>billable</t>
        </is>
      </c>
      <c r="F231" s="19" t="inlineStr">
        <is>
          <t>ischemic</t>
        </is>
      </c>
      <c r="G231" s="19" t="inlineStr">
        <is>
          <t>yes</t>
        </is>
      </c>
      <c r="H231" s="19" t="inlineStr"/>
    </row>
    <row r="232">
      <c r="A232" s="19" t="inlineStr">
        <is>
          <t>Stroke / TIA</t>
        </is>
      </c>
      <c r="B232" s="19" t="inlineStr">
        <is>
          <t>ICD9CM</t>
        </is>
      </c>
      <c r="C232" s="19" t="inlineStr">
        <is>
          <t>433.81</t>
        </is>
      </c>
      <c r="D232" s="19" t="inlineStr">
        <is>
          <t>Occlusion and stenosis of other specified precerebral artery with cerebral infarction</t>
        </is>
      </c>
      <c r="E232" s="19" t="inlineStr">
        <is>
          <t>billable</t>
        </is>
      </c>
      <c r="F232" s="19" t="inlineStr">
        <is>
          <t>ischemic</t>
        </is>
      </c>
      <c r="G232" s="19" t="inlineStr">
        <is>
          <t>yes</t>
        </is>
      </c>
      <c r="H232" s="19" t="inlineStr"/>
    </row>
    <row r="233">
      <c r="A233" s="19" t="inlineStr">
        <is>
          <t>Stroke / TIA</t>
        </is>
      </c>
      <c r="B233" s="19" t="inlineStr">
        <is>
          <t>ICD9CM</t>
        </is>
      </c>
      <c r="C233" s="19" t="inlineStr">
        <is>
          <t>433.91</t>
        </is>
      </c>
      <c r="D233" s="19" t="inlineStr">
        <is>
          <t>Occlusion and stenosis of unspecified precerebral artery with cerebral infarction</t>
        </is>
      </c>
      <c r="E233" s="19" t="inlineStr">
        <is>
          <t>billable</t>
        </is>
      </c>
      <c r="F233" s="19" t="inlineStr">
        <is>
          <t>ischemic</t>
        </is>
      </c>
      <c r="G233" s="19" t="inlineStr">
        <is>
          <t>yes</t>
        </is>
      </c>
      <c r="H233" s="19" t="inlineStr"/>
    </row>
    <row r="234">
      <c r="A234" s="19" t="inlineStr">
        <is>
          <t>Stroke / TIA</t>
        </is>
      </c>
      <c r="B234" s="19" t="inlineStr">
        <is>
          <t>ICD9CM</t>
        </is>
      </c>
      <c r="C234" s="19" t="inlineStr">
        <is>
          <t>434.01</t>
        </is>
      </c>
      <c r="D234" s="19" t="inlineStr">
        <is>
          <t>Cerebral thrombosis with cerebral infarction</t>
        </is>
      </c>
      <c r="E234" s="19" t="inlineStr">
        <is>
          <t>billable</t>
        </is>
      </c>
      <c r="F234" s="19" t="inlineStr">
        <is>
          <t>ischemic</t>
        </is>
      </c>
      <c r="G234" s="19" t="inlineStr">
        <is>
          <t>yes</t>
        </is>
      </c>
      <c r="H234" s="19" t="inlineStr"/>
    </row>
    <row r="235">
      <c r="A235" s="19" t="inlineStr">
        <is>
          <t>Stroke / TIA</t>
        </is>
      </c>
      <c r="B235" s="19" t="inlineStr">
        <is>
          <t>ICD9CM</t>
        </is>
      </c>
      <c r="C235" s="19" t="inlineStr">
        <is>
          <t>434.11</t>
        </is>
      </c>
      <c r="D235" s="19" t="inlineStr">
        <is>
          <t>Cerebral embolism with cerebral infarction</t>
        </is>
      </c>
      <c r="E235" s="19" t="inlineStr">
        <is>
          <t>billable</t>
        </is>
      </c>
      <c r="F235" s="19" t="inlineStr">
        <is>
          <t>ischemic</t>
        </is>
      </c>
      <c r="G235" s="19" t="inlineStr">
        <is>
          <t>yes</t>
        </is>
      </c>
      <c r="H235" s="19" t="inlineStr"/>
    </row>
    <row r="236">
      <c r="A236" s="19" t="inlineStr">
        <is>
          <t>Stroke / TIA</t>
        </is>
      </c>
      <c r="B236" s="19" t="inlineStr">
        <is>
          <t>ICD9CM</t>
        </is>
      </c>
      <c r="C236" s="19" t="inlineStr">
        <is>
          <t>434.91</t>
        </is>
      </c>
      <c r="D236" s="19" t="inlineStr">
        <is>
          <t>Cerebral artery occlusion, unspecified with cerebral infarction</t>
        </is>
      </c>
      <c r="E236" s="19" t="inlineStr">
        <is>
          <t>billable</t>
        </is>
      </c>
      <c r="F236" s="19" t="inlineStr">
        <is>
          <t>ischemic</t>
        </is>
      </c>
      <c r="G236" s="19" t="inlineStr">
        <is>
          <t>yes</t>
        </is>
      </c>
      <c r="H236" s="19" t="inlineStr"/>
    </row>
    <row r="237">
      <c r="A237" s="19" t="inlineStr">
        <is>
          <t>Stroke / TIA</t>
        </is>
      </c>
      <c r="B237" s="19" t="inlineStr">
        <is>
          <t>ICD9CM</t>
        </is>
      </c>
      <c r="C237" s="19" t="inlineStr">
        <is>
          <t>435.0</t>
        </is>
      </c>
      <c r="D237" s="19" t="inlineStr">
        <is>
          <t>Basilar artery syndrome</t>
        </is>
      </c>
      <c r="E237" s="19" t="inlineStr">
        <is>
          <t>billable</t>
        </is>
      </c>
      <c r="F237" s="19" t="inlineStr">
        <is>
          <t>tia</t>
        </is>
      </c>
      <c r="G237" s="19" t="inlineStr">
        <is>
          <t>yes</t>
        </is>
      </c>
      <c r="H237" s="19" t="inlineStr"/>
    </row>
    <row r="238">
      <c r="A238" s="19" t="inlineStr">
        <is>
          <t>Stroke / TIA</t>
        </is>
      </c>
      <c r="B238" s="19" t="inlineStr">
        <is>
          <t>ICD9CM</t>
        </is>
      </c>
      <c r="C238" s="19" t="inlineStr">
        <is>
          <t>435.1</t>
        </is>
      </c>
      <c r="D238" s="19" t="inlineStr">
        <is>
          <t>Vertebral artery syndrome</t>
        </is>
      </c>
      <c r="E238" s="19" t="inlineStr">
        <is>
          <t>billable</t>
        </is>
      </c>
      <c r="F238" s="19" t="inlineStr">
        <is>
          <t>tia</t>
        </is>
      </c>
      <c r="G238" s="19" t="inlineStr">
        <is>
          <t>yes</t>
        </is>
      </c>
      <c r="H238" s="19" t="inlineStr"/>
    </row>
    <row r="239">
      <c r="A239" s="27" t="inlineStr">
        <is>
          <t>Stroke / TIA</t>
        </is>
      </c>
      <c r="B239" s="27" t="inlineStr">
        <is>
          <t>ICD9CM</t>
        </is>
      </c>
      <c r="C239" s="27" t="inlineStr">
        <is>
          <t>435.2</t>
        </is>
      </c>
      <c r="D239" s="27" t="inlineStr">
        <is>
          <t>Subclavian steal syndrome</t>
        </is>
      </c>
      <c r="E239" s="27" t="inlineStr">
        <is>
          <t>billable</t>
        </is>
      </c>
      <c r="F239" s="27" t="inlineStr">
        <is>
          <t>tia</t>
        </is>
      </c>
      <c r="G239" s="27" t="inlineStr">
        <is>
          <t>no</t>
        </is>
      </c>
      <c r="H239" s="27" t="inlineStr">
        <is>
          <t>Subclavian steal syndrome: not a transient ischemic attack</t>
        </is>
      </c>
    </row>
    <row r="240">
      <c r="A240" s="19" t="inlineStr">
        <is>
          <t>Stroke / TIA</t>
        </is>
      </c>
      <c r="B240" s="19" t="inlineStr">
        <is>
          <t>ICD9CM</t>
        </is>
      </c>
      <c r="C240" s="19" t="inlineStr">
        <is>
          <t>435.3</t>
        </is>
      </c>
      <c r="D240" s="19" t="inlineStr">
        <is>
          <t>Vertebrobasilar artery syndrome</t>
        </is>
      </c>
      <c r="E240" s="19" t="inlineStr">
        <is>
          <t>billable</t>
        </is>
      </c>
      <c r="F240" s="19" t="inlineStr">
        <is>
          <t>tia</t>
        </is>
      </c>
      <c r="G240" s="19" t="inlineStr">
        <is>
          <t>yes</t>
        </is>
      </c>
      <c r="H240" s="19" t="inlineStr"/>
    </row>
    <row r="241">
      <c r="A241" s="19" t="inlineStr">
        <is>
          <t>Stroke / TIA</t>
        </is>
      </c>
      <c r="B241" s="19" t="inlineStr">
        <is>
          <t>ICD9CM</t>
        </is>
      </c>
      <c r="C241" s="19" t="inlineStr">
        <is>
          <t>435.8</t>
        </is>
      </c>
      <c r="D241" s="19" t="inlineStr">
        <is>
          <t>Other specified transient cerebral ischemias</t>
        </is>
      </c>
      <c r="E241" s="19" t="inlineStr">
        <is>
          <t>billable</t>
        </is>
      </c>
      <c r="F241" s="19" t="inlineStr">
        <is>
          <t>tia</t>
        </is>
      </c>
      <c r="G241" s="19" t="inlineStr">
        <is>
          <t>yes</t>
        </is>
      </c>
      <c r="H241" s="19" t="inlineStr"/>
    </row>
    <row r="242">
      <c r="A242" s="19" t="inlineStr">
        <is>
          <t>Stroke / TIA</t>
        </is>
      </c>
      <c r="B242" s="19" t="inlineStr">
        <is>
          <t>ICD9CM</t>
        </is>
      </c>
      <c r="C242" s="19" t="inlineStr">
        <is>
          <t>435.9</t>
        </is>
      </c>
      <c r="D242" s="19" t="inlineStr">
        <is>
          <t>Unspecified transient cerebral ischemia</t>
        </is>
      </c>
      <c r="E242" s="19" t="inlineStr">
        <is>
          <t>billable</t>
        </is>
      </c>
      <c r="F242" s="19" t="inlineStr">
        <is>
          <t>tia</t>
        </is>
      </c>
      <c r="G242" s="19" t="inlineStr">
        <is>
          <t>yes</t>
        </is>
      </c>
      <c r="H242" s="19" t="inlineStr"/>
    </row>
    <row r="243">
      <c r="A243" s="19" t="inlineStr">
        <is>
          <t>Stroke / TIA</t>
        </is>
      </c>
      <c r="B243" s="19" t="inlineStr">
        <is>
          <t>ICD9CM</t>
        </is>
      </c>
      <c r="C243" s="19" t="inlineStr">
        <is>
          <t>436</t>
        </is>
      </c>
      <c r="D243" s="19" t="inlineStr">
        <is>
          <t>Acute, but ill-defined, cerebrovascular disease</t>
        </is>
      </c>
      <c r="E243" s="19" t="inlineStr">
        <is>
          <t>billable</t>
        </is>
      </c>
      <c r="F243" s="19" t="inlineStr">
        <is>
          <t>unknown</t>
        </is>
      </c>
      <c r="G243" s="19" t="inlineStr">
        <is>
          <t>yes</t>
        </is>
      </c>
      <c r="H243" s="19" t="inlineStr"/>
    </row>
    <row r="244">
      <c r="A244" s="19" t="inlineStr">
        <is>
          <t>Heart failure</t>
        </is>
      </c>
      <c r="B244" s="19" t="inlineStr">
        <is>
          <t>ICD10CM</t>
        </is>
      </c>
      <c r="C244" s="19" t="inlineStr">
        <is>
          <t>I09.81</t>
        </is>
      </c>
      <c r="D244" s="19" t="inlineStr">
        <is>
          <t>Rheumatic heart failure</t>
        </is>
      </c>
      <c r="E244" s="19" t="inlineStr">
        <is>
          <t>billable</t>
        </is>
      </c>
      <c r="F244" s="19" t="inlineStr"/>
      <c r="G244" s="19" t="inlineStr">
        <is>
          <t>yes</t>
        </is>
      </c>
      <c r="H244" s="19" t="inlineStr"/>
    </row>
    <row r="245">
      <c r="A245" s="19" t="inlineStr">
        <is>
          <t>Heart failure</t>
        </is>
      </c>
      <c r="B245" s="19" t="inlineStr">
        <is>
          <t>ICD10CM</t>
        </is>
      </c>
      <c r="C245" s="19" t="inlineStr">
        <is>
          <t>I11.0</t>
        </is>
      </c>
      <c r="D245" s="19" t="inlineStr">
        <is>
          <t>Hypertensive heart disease with heart failure</t>
        </is>
      </c>
      <c r="E245" s="19" t="inlineStr">
        <is>
          <t>billable</t>
        </is>
      </c>
      <c r="F245" s="19" t="inlineStr"/>
      <c r="G245" s="19" t="inlineStr">
        <is>
          <t>yes</t>
        </is>
      </c>
      <c r="H245" s="19" t="inlineStr"/>
    </row>
    <row r="246">
      <c r="A246" s="19" t="inlineStr">
        <is>
          <t>Heart failure</t>
        </is>
      </c>
      <c r="B246" s="19" t="inlineStr">
        <is>
          <t>ICD10CM</t>
        </is>
      </c>
      <c r="C246" s="19" t="inlineStr">
        <is>
          <t>I13.0</t>
        </is>
      </c>
      <c r="D246" s="19" t="inlineStr">
        <is>
          <t>Hypertensive heart and chronic kidney disease with heart failure and stage 1 through stage 4 chronic kidney disease, or unspecified chronic kidney disease</t>
        </is>
      </c>
      <c r="E246" s="19" t="inlineStr">
        <is>
          <t>billable</t>
        </is>
      </c>
      <c r="F246" s="19" t="inlineStr"/>
      <c r="G246" s="19" t="inlineStr">
        <is>
          <t>yes</t>
        </is>
      </c>
      <c r="H246" s="19" t="inlineStr"/>
    </row>
    <row r="247">
      <c r="A247" s="19" t="inlineStr">
        <is>
          <t>Heart failure</t>
        </is>
      </c>
      <c r="B247" s="19" t="inlineStr">
        <is>
          <t>ICD10CM</t>
        </is>
      </c>
      <c r="C247" s="19" t="inlineStr">
        <is>
          <t>I13.2</t>
        </is>
      </c>
      <c r="D247" s="19" t="inlineStr">
        <is>
          <t>Hypertensive heart and chronic kidney disease with heart failure and with stage 5 chronic kidney disease, or end stage renal disease</t>
        </is>
      </c>
      <c r="E247" s="19" t="inlineStr">
        <is>
          <t>billable</t>
        </is>
      </c>
      <c r="F247" s="19" t="inlineStr"/>
      <c r="G247" s="19" t="inlineStr">
        <is>
          <t>yes</t>
        </is>
      </c>
      <c r="H247" s="19" t="inlineStr"/>
    </row>
    <row r="248">
      <c r="A248" s="19" t="inlineStr">
        <is>
          <t>Heart failure</t>
        </is>
      </c>
      <c r="B248" s="19" t="inlineStr">
        <is>
          <t>ICD10CM</t>
        </is>
      </c>
      <c r="C248" s="19" t="inlineStr">
        <is>
          <t>I50</t>
        </is>
      </c>
      <c r="D248" s="19" t="inlineStr">
        <is>
          <t>Heart failure</t>
        </is>
      </c>
      <c r="E248" s="19" t="inlineStr">
        <is>
          <t>header (not billable in FY2026; may appear in older records)</t>
        </is>
      </c>
      <c r="F248" s="19" t="inlineStr"/>
      <c r="G248" s="19" t="inlineStr">
        <is>
          <t>yes</t>
        </is>
      </c>
      <c r="H248" s="19" t="inlineStr"/>
    </row>
    <row r="249">
      <c r="A249" s="19" t="inlineStr">
        <is>
          <t>Heart failure</t>
        </is>
      </c>
      <c r="B249" s="19" t="inlineStr">
        <is>
          <t>ICD10CM</t>
        </is>
      </c>
      <c r="C249" s="19" t="inlineStr">
        <is>
          <t>I50.1</t>
        </is>
      </c>
      <c r="D249" s="19" t="inlineStr">
        <is>
          <t>Left ventricular failure, unspecified</t>
        </is>
      </c>
      <c r="E249" s="19" t="inlineStr">
        <is>
          <t>billable</t>
        </is>
      </c>
      <c r="F249" s="19" t="inlineStr"/>
      <c r="G249" s="19" t="inlineStr">
        <is>
          <t>yes</t>
        </is>
      </c>
      <c r="H249" s="19" t="inlineStr"/>
    </row>
    <row r="250">
      <c r="A250" s="19" t="inlineStr">
        <is>
          <t>Heart failure</t>
        </is>
      </c>
      <c r="B250" s="19" t="inlineStr">
        <is>
          <t>ICD10CM</t>
        </is>
      </c>
      <c r="C250" s="19" t="inlineStr">
        <is>
          <t>I50.2</t>
        </is>
      </c>
      <c r="D250" s="19" t="inlineStr">
        <is>
          <t>Systolic (congestive) heart failure</t>
        </is>
      </c>
      <c r="E250" s="19" t="inlineStr">
        <is>
          <t>header (not billable in FY2026; may appear in older records)</t>
        </is>
      </c>
      <c r="F250" s="19" t="inlineStr">
        <is>
          <t>hfref</t>
        </is>
      </c>
      <c r="G250" s="19" t="inlineStr">
        <is>
          <t>yes</t>
        </is>
      </c>
      <c r="H250" s="19" t="inlineStr"/>
    </row>
    <row r="251">
      <c r="A251" s="19" t="inlineStr">
        <is>
          <t>Heart failure</t>
        </is>
      </c>
      <c r="B251" s="19" t="inlineStr">
        <is>
          <t>ICD10CM</t>
        </is>
      </c>
      <c r="C251" s="19" t="inlineStr">
        <is>
          <t>I50.20</t>
        </is>
      </c>
      <c r="D251" s="19" t="inlineStr">
        <is>
          <t>Unspecified systolic (congestive) heart failure</t>
        </is>
      </c>
      <c r="E251" s="19" t="inlineStr">
        <is>
          <t>billable</t>
        </is>
      </c>
      <c r="F251" s="19" t="inlineStr">
        <is>
          <t>hfref</t>
        </is>
      </c>
      <c r="G251" s="19" t="inlineStr">
        <is>
          <t>yes</t>
        </is>
      </c>
      <c r="H251" s="19" t="inlineStr"/>
    </row>
    <row r="252">
      <c r="A252" s="19" t="inlineStr">
        <is>
          <t>Heart failure</t>
        </is>
      </c>
      <c r="B252" s="19" t="inlineStr">
        <is>
          <t>ICD10CM</t>
        </is>
      </c>
      <c r="C252" s="19" t="inlineStr">
        <is>
          <t>I50.21</t>
        </is>
      </c>
      <c r="D252" s="19" t="inlineStr">
        <is>
          <t>Acute systolic (congestive) heart failure</t>
        </is>
      </c>
      <c r="E252" s="19" t="inlineStr">
        <is>
          <t>billable</t>
        </is>
      </c>
      <c r="F252" s="19" t="inlineStr">
        <is>
          <t>hfref</t>
        </is>
      </c>
      <c r="G252" s="19" t="inlineStr">
        <is>
          <t>yes</t>
        </is>
      </c>
      <c r="H252" s="19" t="inlineStr"/>
    </row>
    <row r="253">
      <c r="A253" s="19" t="inlineStr">
        <is>
          <t>Heart failure</t>
        </is>
      </c>
      <c r="B253" s="19" t="inlineStr">
        <is>
          <t>ICD10CM</t>
        </is>
      </c>
      <c r="C253" s="19" t="inlineStr">
        <is>
          <t>I50.22</t>
        </is>
      </c>
      <c r="D253" s="19" t="inlineStr">
        <is>
          <t>Chronic systolic (congestive) heart failure</t>
        </is>
      </c>
      <c r="E253" s="19" t="inlineStr">
        <is>
          <t>billable</t>
        </is>
      </c>
      <c r="F253" s="19" t="inlineStr">
        <is>
          <t>hfref</t>
        </is>
      </c>
      <c r="G253" s="19" t="inlineStr">
        <is>
          <t>yes</t>
        </is>
      </c>
      <c r="H253" s="19" t="inlineStr"/>
    </row>
    <row r="254">
      <c r="A254" s="19" t="inlineStr">
        <is>
          <t>Heart failure</t>
        </is>
      </c>
      <c r="B254" s="19" t="inlineStr">
        <is>
          <t>ICD10CM</t>
        </is>
      </c>
      <c r="C254" s="19" t="inlineStr">
        <is>
          <t>I50.23</t>
        </is>
      </c>
      <c r="D254" s="19" t="inlineStr">
        <is>
          <t>Acute on chronic systolic (congestive) heart failure</t>
        </is>
      </c>
      <c r="E254" s="19" t="inlineStr">
        <is>
          <t>billable</t>
        </is>
      </c>
      <c r="F254" s="19" t="inlineStr">
        <is>
          <t>hfref</t>
        </is>
      </c>
      <c r="G254" s="19" t="inlineStr">
        <is>
          <t>yes</t>
        </is>
      </c>
      <c r="H254" s="19" t="inlineStr"/>
    </row>
    <row r="255">
      <c r="A255" s="19" t="inlineStr">
        <is>
          <t>Heart failure</t>
        </is>
      </c>
      <c r="B255" s="19" t="inlineStr">
        <is>
          <t>ICD10CM</t>
        </is>
      </c>
      <c r="C255" s="19" t="inlineStr">
        <is>
          <t>I50.3</t>
        </is>
      </c>
      <c r="D255" s="19" t="inlineStr">
        <is>
          <t>Diastolic (congestive) heart failure</t>
        </is>
      </c>
      <c r="E255" s="19" t="inlineStr">
        <is>
          <t>header (not billable in FY2026; may appear in older records)</t>
        </is>
      </c>
      <c r="F255" s="19" t="inlineStr">
        <is>
          <t>hfpef</t>
        </is>
      </c>
      <c r="G255" s="19" t="inlineStr">
        <is>
          <t>yes</t>
        </is>
      </c>
      <c r="H255" s="19" t="inlineStr"/>
    </row>
    <row r="256">
      <c r="A256" s="19" t="inlineStr">
        <is>
          <t>Heart failure</t>
        </is>
      </c>
      <c r="B256" s="19" t="inlineStr">
        <is>
          <t>ICD10CM</t>
        </is>
      </c>
      <c r="C256" s="19" t="inlineStr">
        <is>
          <t>I50.30</t>
        </is>
      </c>
      <c r="D256" s="19" t="inlineStr">
        <is>
          <t>Unspecified diastolic (congestive) heart failure</t>
        </is>
      </c>
      <c r="E256" s="19" t="inlineStr">
        <is>
          <t>billable</t>
        </is>
      </c>
      <c r="F256" s="19" t="inlineStr">
        <is>
          <t>hfpef</t>
        </is>
      </c>
      <c r="G256" s="19" t="inlineStr">
        <is>
          <t>yes</t>
        </is>
      </c>
      <c r="H256" s="19" t="inlineStr"/>
    </row>
    <row r="257">
      <c r="A257" s="19" t="inlineStr">
        <is>
          <t>Heart failure</t>
        </is>
      </c>
      <c r="B257" s="19" t="inlineStr">
        <is>
          <t>ICD10CM</t>
        </is>
      </c>
      <c r="C257" s="19" t="inlineStr">
        <is>
          <t>I50.31</t>
        </is>
      </c>
      <c r="D257" s="19" t="inlineStr">
        <is>
          <t>Acute diastolic (congestive) heart failure</t>
        </is>
      </c>
      <c r="E257" s="19" t="inlineStr">
        <is>
          <t>billable</t>
        </is>
      </c>
      <c r="F257" s="19" t="inlineStr">
        <is>
          <t>hfpef</t>
        </is>
      </c>
      <c r="G257" s="19" t="inlineStr">
        <is>
          <t>yes</t>
        </is>
      </c>
      <c r="H257" s="19" t="inlineStr"/>
    </row>
    <row r="258">
      <c r="A258" s="19" t="inlineStr">
        <is>
          <t>Heart failure</t>
        </is>
      </c>
      <c r="B258" s="19" t="inlineStr">
        <is>
          <t>ICD10CM</t>
        </is>
      </c>
      <c r="C258" s="19" t="inlineStr">
        <is>
          <t>I50.32</t>
        </is>
      </c>
      <c r="D258" s="19" t="inlineStr">
        <is>
          <t>Chronic diastolic (congestive) heart failure</t>
        </is>
      </c>
      <c r="E258" s="19" t="inlineStr">
        <is>
          <t>billable</t>
        </is>
      </c>
      <c r="F258" s="19" t="inlineStr">
        <is>
          <t>hfpef</t>
        </is>
      </c>
      <c r="G258" s="19" t="inlineStr">
        <is>
          <t>yes</t>
        </is>
      </c>
      <c r="H258" s="19" t="inlineStr"/>
    </row>
    <row r="259">
      <c r="A259" s="19" t="inlineStr">
        <is>
          <t>Heart failure</t>
        </is>
      </c>
      <c r="B259" s="19" t="inlineStr">
        <is>
          <t>ICD10CM</t>
        </is>
      </c>
      <c r="C259" s="19" t="inlineStr">
        <is>
          <t>I50.33</t>
        </is>
      </c>
      <c r="D259" s="19" t="inlineStr">
        <is>
          <t>Acute on chronic diastolic (congestive) heart failure</t>
        </is>
      </c>
      <c r="E259" s="19" t="inlineStr">
        <is>
          <t>billable</t>
        </is>
      </c>
      <c r="F259" s="19" t="inlineStr">
        <is>
          <t>hfpef</t>
        </is>
      </c>
      <c r="G259" s="19" t="inlineStr">
        <is>
          <t>yes</t>
        </is>
      </c>
      <c r="H259" s="19" t="inlineStr"/>
    </row>
    <row r="260">
      <c r="A260" s="19" t="inlineStr">
        <is>
          <t>Heart failure</t>
        </is>
      </c>
      <c r="B260" s="19" t="inlineStr">
        <is>
          <t>ICD10CM</t>
        </is>
      </c>
      <c r="C260" s="19" t="inlineStr">
        <is>
          <t>I50.4</t>
        </is>
      </c>
      <c r="D260" s="19" t="inlineStr">
        <is>
          <t>Combined systolic (congestive) and diastolic (congestive) heart failure</t>
        </is>
      </c>
      <c r="E260" s="19" t="inlineStr">
        <is>
          <t>header (not billable in FY2026; may appear in older records)</t>
        </is>
      </c>
      <c r="F260" s="19" t="inlineStr">
        <is>
          <t>hfref</t>
        </is>
      </c>
      <c r="G260" s="19" t="inlineStr">
        <is>
          <t>yes</t>
        </is>
      </c>
      <c r="H260" s="19" t="inlineStr"/>
    </row>
    <row r="261">
      <c r="A261" s="19" t="inlineStr">
        <is>
          <t>Heart failure</t>
        </is>
      </c>
      <c r="B261" s="19" t="inlineStr">
        <is>
          <t>ICD10CM</t>
        </is>
      </c>
      <c r="C261" s="19" t="inlineStr">
        <is>
          <t>I50.40</t>
        </is>
      </c>
      <c r="D261" s="19" t="inlineStr">
        <is>
          <t>Unspecified combined systolic (congestive) and diastolic (congestive) heart failure</t>
        </is>
      </c>
      <c r="E261" s="19" t="inlineStr">
        <is>
          <t>billable</t>
        </is>
      </c>
      <c r="F261" s="19" t="inlineStr">
        <is>
          <t>hfref</t>
        </is>
      </c>
      <c r="G261" s="19" t="inlineStr">
        <is>
          <t>yes</t>
        </is>
      </c>
      <c r="H261" s="19" t="inlineStr"/>
    </row>
    <row r="262">
      <c r="A262" s="19" t="inlineStr">
        <is>
          <t>Heart failure</t>
        </is>
      </c>
      <c r="B262" s="19" t="inlineStr">
        <is>
          <t>ICD10CM</t>
        </is>
      </c>
      <c r="C262" s="19" t="inlineStr">
        <is>
          <t>I50.41</t>
        </is>
      </c>
      <c r="D262" s="19" t="inlineStr">
        <is>
          <t>Acute combined systolic (congestive) and diastolic (congestive) heart failure</t>
        </is>
      </c>
      <c r="E262" s="19" t="inlineStr">
        <is>
          <t>billable</t>
        </is>
      </c>
      <c r="F262" s="19" t="inlineStr">
        <is>
          <t>hfref</t>
        </is>
      </c>
      <c r="G262" s="19" t="inlineStr">
        <is>
          <t>yes</t>
        </is>
      </c>
      <c r="H262" s="19" t="inlineStr"/>
    </row>
    <row r="263">
      <c r="A263" s="19" t="inlineStr">
        <is>
          <t>Heart failure</t>
        </is>
      </c>
      <c r="B263" s="19" t="inlineStr">
        <is>
          <t>ICD10CM</t>
        </is>
      </c>
      <c r="C263" s="19" t="inlineStr">
        <is>
          <t>I50.42</t>
        </is>
      </c>
      <c r="D263" s="19" t="inlineStr">
        <is>
          <t>Chronic combined systolic (congestive) and diastolic (congestive) heart failure</t>
        </is>
      </c>
      <c r="E263" s="19" t="inlineStr">
        <is>
          <t>billable</t>
        </is>
      </c>
      <c r="F263" s="19" t="inlineStr">
        <is>
          <t>hfref</t>
        </is>
      </c>
      <c r="G263" s="19" t="inlineStr">
        <is>
          <t>yes</t>
        </is>
      </c>
      <c r="H263" s="19" t="inlineStr"/>
    </row>
    <row r="264">
      <c r="A264" s="19" t="inlineStr">
        <is>
          <t>Heart failure</t>
        </is>
      </c>
      <c r="B264" s="19" t="inlineStr">
        <is>
          <t>ICD10CM</t>
        </is>
      </c>
      <c r="C264" s="19" t="inlineStr">
        <is>
          <t>I50.43</t>
        </is>
      </c>
      <c r="D264" s="19" t="inlineStr">
        <is>
          <t>Acute on chronic combined systolic (congestive) and diastolic (congestive) heart failure</t>
        </is>
      </c>
      <c r="E264" s="19" t="inlineStr">
        <is>
          <t>billable</t>
        </is>
      </c>
      <c r="F264" s="19" t="inlineStr">
        <is>
          <t>hfref</t>
        </is>
      </c>
      <c r="G264" s="19" t="inlineStr">
        <is>
          <t>yes</t>
        </is>
      </c>
      <c r="H264" s="19" t="inlineStr"/>
    </row>
    <row r="265">
      <c r="A265" s="19" t="inlineStr">
        <is>
          <t>Heart failure</t>
        </is>
      </c>
      <c r="B265" s="19" t="inlineStr">
        <is>
          <t>ICD10CM</t>
        </is>
      </c>
      <c r="C265" s="19" t="inlineStr">
        <is>
          <t>I50.8</t>
        </is>
      </c>
      <c r="D265" s="19" t="inlineStr">
        <is>
          <t>Other heart failure</t>
        </is>
      </c>
      <c r="E265" s="19" t="inlineStr">
        <is>
          <t>header (not billable in FY2026; may appear in older records)</t>
        </is>
      </c>
      <c r="F265" s="19" t="inlineStr"/>
      <c r="G265" s="19" t="inlineStr">
        <is>
          <t>yes</t>
        </is>
      </c>
      <c r="H265" s="19" t="inlineStr"/>
    </row>
    <row r="266">
      <c r="A266" s="19" t="inlineStr">
        <is>
          <t>Heart failure</t>
        </is>
      </c>
      <c r="B266" s="19" t="inlineStr">
        <is>
          <t>ICD10CM</t>
        </is>
      </c>
      <c r="C266" s="19" t="inlineStr">
        <is>
          <t>I50.81</t>
        </is>
      </c>
      <c r="D266" s="19" t="inlineStr">
        <is>
          <t>Right heart failure</t>
        </is>
      </c>
      <c r="E266" s="19" t="inlineStr">
        <is>
          <t>header (not billable in FY2026; may appear in older records)</t>
        </is>
      </c>
      <c r="F266" s="19" t="inlineStr"/>
      <c r="G266" s="19" t="inlineStr">
        <is>
          <t>yes</t>
        </is>
      </c>
      <c r="H266" s="19" t="inlineStr"/>
    </row>
    <row r="267">
      <c r="A267" s="19" t="inlineStr">
        <is>
          <t>Heart failure</t>
        </is>
      </c>
      <c r="B267" s="19" t="inlineStr">
        <is>
          <t>ICD10CM</t>
        </is>
      </c>
      <c r="C267" s="19" t="inlineStr">
        <is>
          <t>I50.810</t>
        </is>
      </c>
      <c r="D267" s="19" t="inlineStr">
        <is>
          <t>Right heart failure, unspecified</t>
        </is>
      </c>
      <c r="E267" s="19" t="inlineStr">
        <is>
          <t>billable</t>
        </is>
      </c>
      <c r="F267" s="19" t="inlineStr"/>
      <c r="G267" s="19" t="inlineStr">
        <is>
          <t>yes</t>
        </is>
      </c>
      <c r="H267" s="19" t="inlineStr"/>
    </row>
    <row r="268">
      <c r="A268" s="19" t="inlineStr">
        <is>
          <t>Heart failure</t>
        </is>
      </c>
      <c r="B268" s="19" t="inlineStr">
        <is>
          <t>ICD10CM</t>
        </is>
      </c>
      <c r="C268" s="19" t="inlineStr">
        <is>
          <t>I50.811</t>
        </is>
      </c>
      <c r="D268" s="19" t="inlineStr">
        <is>
          <t>Acute right heart failure</t>
        </is>
      </c>
      <c r="E268" s="19" t="inlineStr">
        <is>
          <t>billable</t>
        </is>
      </c>
      <c r="F268" s="19" t="inlineStr"/>
      <c r="G268" s="19" t="inlineStr">
        <is>
          <t>yes</t>
        </is>
      </c>
      <c r="H268" s="19" t="inlineStr"/>
    </row>
    <row r="269">
      <c r="A269" s="19" t="inlineStr">
        <is>
          <t>Heart failure</t>
        </is>
      </c>
      <c r="B269" s="19" t="inlineStr">
        <is>
          <t>ICD10CM</t>
        </is>
      </c>
      <c r="C269" s="19" t="inlineStr">
        <is>
          <t>I50.812</t>
        </is>
      </c>
      <c r="D269" s="19" t="inlineStr">
        <is>
          <t>Chronic right heart failure</t>
        </is>
      </c>
      <c r="E269" s="19" t="inlineStr">
        <is>
          <t>billable</t>
        </is>
      </c>
      <c r="F269" s="19" t="inlineStr"/>
      <c r="G269" s="19" t="inlineStr">
        <is>
          <t>yes</t>
        </is>
      </c>
      <c r="H269" s="19" t="inlineStr"/>
    </row>
    <row r="270">
      <c r="A270" s="19" t="inlineStr">
        <is>
          <t>Heart failure</t>
        </is>
      </c>
      <c r="B270" s="19" t="inlineStr">
        <is>
          <t>ICD10CM</t>
        </is>
      </c>
      <c r="C270" s="19" t="inlineStr">
        <is>
          <t>I50.813</t>
        </is>
      </c>
      <c r="D270" s="19" t="inlineStr">
        <is>
          <t>Acute on chronic right heart failure</t>
        </is>
      </c>
      <c r="E270" s="19" t="inlineStr">
        <is>
          <t>billable</t>
        </is>
      </c>
      <c r="F270" s="19" t="inlineStr"/>
      <c r="G270" s="19" t="inlineStr">
        <is>
          <t>yes</t>
        </is>
      </c>
      <c r="H270" s="19" t="inlineStr"/>
    </row>
    <row r="271">
      <c r="A271" s="19" t="inlineStr">
        <is>
          <t>Heart failure</t>
        </is>
      </c>
      <c r="B271" s="19" t="inlineStr">
        <is>
          <t>ICD10CM</t>
        </is>
      </c>
      <c r="C271" s="19" t="inlineStr">
        <is>
          <t>I50.814</t>
        </is>
      </c>
      <c r="D271" s="19" t="inlineStr">
        <is>
          <t>Right heart failure due to left heart failure</t>
        </is>
      </c>
      <c r="E271" s="19" t="inlineStr">
        <is>
          <t>billable</t>
        </is>
      </c>
      <c r="F271" s="19" t="inlineStr"/>
      <c r="G271" s="19" t="inlineStr">
        <is>
          <t>yes</t>
        </is>
      </c>
      <c r="H271" s="19" t="inlineStr"/>
    </row>
    <row r="272">
      <c r="A272" s="19" t="inlineStr">
        <is>
          <t>Heart failure</t>
        </is>
      </c>
      <c r="B272" s="19" t="inlineStr">
        <is>
          <t>ICD10CM</t>
        </is>
      </c>
      <c r="C272" s="19" t="inlineStr">
        <is>
          <t>I50.82</t>
        </is>
      </c>
      <c r="D272" s="19" t="inlineStr">
        <is>
          <t>Biventricular heart failure</t>
        </is>
      </c>
      <c r="E272" s="19" t="inlineStr">
        <is>
          <t>billable</t>
        </is>
      </c>
      <c r="F272" s="19" t="inlineStr"/>
      <c r="G272" s="19" t="inlineStr">
        <is>
          <t>yes</t>
        </is>
      </c>
      <c r="H272" s="19" t="inlineStr"/>
    </row>
    <row r="273">
      <c r="A273" s="19" t="inlineStr">
        <is>
          <t>Heart failure</t>
        </is>
      </c>
      <c r="B273" s="19" t="inlineStr">
        <is>
          <t>ICD10CM</t>
        </is>
      </c>
      <c r="C273" s="19" t="inlineStr">
        <is>
          <t>I50.83</t>
        </is>
      </c>
      <c r="D273" s="19" t="inlineStr">
        <is>
          <t>High output heart failure</t>
        </is>
      </c>
      <c r="E273" s="19" t="inlineStr">
        <is>
          <t>billable</t>
        </is>
      </c>
      <c r="F273" s="19" t="inlineStr"/>
      <c r="G273" s="19" t="inlineStr">
        <is>
          <t>yes</t>
        </is>
      </c>
      <c r="H273" s="19" t="inlineStr"/>
    </row>
    <row r="274">
      <c r="A274" s="19" t="inlineStr">
        <is>
          <t>Heart failure</t>
        </is>
      </c>
      <c r="B274" s="19" t="inlineStr">
        <is>
          <t>ICD10CM</t>
        </is>
      </c>
      <c r="C274" s="19" t="inlineStr">
        <is>
          <t>I50.84</t>
        </is>
      </c>
      <c r="D274" s="19" t="inlineStr">
        <is>
          <t>End stage heart failure</t>
        </is>
      </c>
      <c r="E274" s="19" t="inlineStr">
        <is>
          <t>billable</t>
        </is>
      </c>
      <c r="F274" s="19" t="inlineStr"/>
      <c r="G274" s="19" t="inlineStr">
        <is>
          <t>yes</t>
        </is>
      </c>
      <c r="H274" s="19" t="inlineStr"/>
    </row>
    <row r="275">
      <c r="A275" s="19" t="inlineStr">
        <is>
          <t>Heart failure</t>
        </is>
      </c>
      <c r="B275" s="19" t="inlineStr">
        <is>
          <t>ICD10CM</t>
        </is>
      </c>
      <c r="C275" s="19" t="inlineStr">
        <is>
          <t>I50.89</t>
        </is>
      </c>
      <c r="D275" s="19" t="inlineStr">
        <is>
          <t>Other heart failure</t>
        </is>
      </c>
      <c r="E275" s="19" t="inlineStr">
        <is>
          <t>billable</t>
        </is>
      </c>
      <c r="F275" s="19" t="inlineStr"/>
      <c r="G275" s="19" t="inlineStr">
        <is>
          <t>yes</t>
        </is>
      </c>
      <c r="H275" s="19" t="inlineStr"/>
    </row>
    <row r="276">
      <c r="A276" s="19" t="inlineStr">
        <is>
          <t>Heart failure</t>
        </is>
      </c>
      <c r="B276" s="19" t="inlineStr">
        <is>
          <t>ICD10CM</t>
        </is>
      </c>
      <c r="C276" s="19" t="inlineStr">
        <is>
          <t>I50.9</t>
        </is>
      </c>
      <c r="D276" s="19" t="inlineStr">
        <is>
          <t>Heart failure, unspecified</t>
        </is>
      </c>
      <c r="E276" s="19" t="inlineStr">
        <is>
          <t>billable</t>
        </is>
      </c>
      <c r="F276" s="19" t="inlineStr"/>
      <c r="G276" s="19" t="inlineStr">
        <is>
          <t>yes</t>
        </is>
      </c>
      <c r="H276" s="19" t="inlineStr"/>
    </row>
    <row r="277">
      <c r="A277" s="19" t="inlineStr">
        <is>
          <t>Heart failure</t>
        </is>
      </c>
      <c r="B277" s="19" t="inlineStr">
        <is>
          <t>ICD10CM</t>
        </is>
      </c>
      <c r="C277" s="19" t="inlineStr">
        <is>
          <t>I97.13</t>
        </is>
      </c>
      <c r="D277" s="19" t="inlineStr">
        <is>
          <t>Postprocedural heart failure</t>
        </is>
      </c>
      <c r="E277" s="19" t="inlineStr">
        <is>
          <t>header (not billable in FY2026; may appear in older records)</t>
        </is>
      </c>
      <c r="F277" s="19" t="inlineStr"/>
      <c r="G277" s="19" t="inlineStr">
        <is>
          <t>yes</t>
        </is>
      </c>
      <c r="H277" s="19" t="inlineStr"/>
    </row>
    <row r="278">
      <c r="A278" s="19" t="inlineStr">
        <is>
          <t>Heart failure</t>
        </is>
      </c>
      <c r="B278" s="19" t="inlineStr">
        <is>
          <t>ICD10CM</t>
        </is>
      </c>
      <c r="C278" s="19" t="inlineStr">
        <is>
          <t>I97.130</t>
        </is>
      </c>
      <c r="D278" s="19" t="inlineStr">
        <is>
          <t>Postprocedural heart failure following cardiac surgery</t>
        </is>
      </c>
      <c r="E278" s="19" t="inlineStr">
        <is>
          <t>billable</t>
        </is>
      </c>
      <c r="F278" s="19" t="inlineStr"/>
      <c r="G278" s="19" t="inlineStr">
        <is>
          <t>yes</t>
        </is>
      </c>
      <c r="H278" s="19" t="inlineStr"/>
    </row>
    <row r="279">
      <c r="A279" s="19" t="inlineStr">
        <is>
          <t>Heart failure</t>
        </is>
      </c>
      <c r="B279" s="19" t="inlineStr">
        <is>
          <t>ICD10CM</t>
        </is>
      </c>
      <c r="C279" s="19" t="inlineStr">
        <is>
          <t>I97.131</t>
        </is>
      </c>
      <c r="D279" s="19" t="inlineStr">
        <is>
          <t>Postprocedural heart failure following other surgery</t>
        </is>
      </c>
      <c r="E279" s="19" t="inlineStr">
        <is>
          <t>billable</t>
        </is>
      </c>
      <c r="F279" s="19" t="inlineStr"/>
      <c r="G279" s="19" t="inlineStr">
        <is>
          <t>yes</t>
        </is>
      </c>
      <c r="H279" s="19" t="inlineStr"/>
    </row>
    <row r="280">
      <c r="A280" s="19" t="inlineStr">
        <is>
          <t>Heart failure</t>
        </is>
      </c>
      <c r="B280" s="19" t="inlineStr">
        <is>
          <t>ICD9CM</t>
        </is>
      </c>
      <c r="C280" s="19" t="inlineStr">
        <is>
          <t>398.91</t>
        </is>
      </c>
      <c r="D280" s="19" t="inlineStr">
        <is>
          <t>Rheumatic heart failure (congestive)</t>
        </is>
      </c>
      <c r="E280" s="19" t="inlineStr">
        <is>
          <t>billable</t>
        </is>
      </c>
      <c r="F280" s="19" t="inlineStr"/>
      <c r="G280" s="19" t="inlineStr">
        <is>
          <t>yes</t>
        </is>
      </c>
      <c r="H280" s="19" t="inlineStr"/>
    </row>
    <row r="281">
      <c r="A281" s="19" t="inlineStr">
        <is>
          <t>Heart failure</t>
        </is>
      </c>
      <c r="B281" s="19" t="inlineStr">
        <is>
          <t>ICD9CM</t>
        </is>
      </c>
      <c r="C281" s="19" t="inlineStr">
        <is>
          <t>402.01</t>
        </is>
      </c>
      <c r="D281" s="19" t="inlineStr">
        <is>
          <t>Malignant hypertensive heart disease with heart failure</t>
        </is>
      </c>
      <c r="E281" s="19" t="inlineStr">
        <is>
          <t>billable</t>
        </is>
      </c>
      <c r="F281" s="19" t="inlineStr"/>
      <c r="G281" s="19" t="inlineStr">
        <is>
          <t>yes</t>
        </is>
      </c>
      <c r="H281" s="19" t="inlineStr"/>
    </row>
    <row r="282">
      <c r="A282" s="19" t="inlineStr">
        <is>
          <t>Heart failure</t>
        </is>
      </c>
      <c r="B282" s="19" t="inlineStr">
        <is>
          <t>ICD9CM</t>
        </is>
      </c>
      <c r="C282" s="19" t="inlineStr">
        <is>
          <t>402.11</t>
        </is>
      </c>
      <c r="D282" s="19" t="inlineStr">
        <is>
          <t>Benign hypertensive heart disease with heart failure</t>
        </is>
      </c>
      <c r="E282" s="19" t="inlineStr">
        <is>
          <t>billable</t>
        </is>
      </c>
      <c r="F282" s="19" t="inlineStr"/>
      <c r="G282" s="19" t="inlineStr">
        <is>
          <t>yes</t>
        </is>
      </c>
      <c r="H282" s="19" t="inlineStr"/>
    </row>
    <row r="283">
      <c r="A283" s="19" t="inlineStr">
        <is>
          <t>Heart failure</t>
        </is>
      </c>
      <c r="B283" s="19" t="inlineStr">
        <is>
          <t>ICD9CM</t>
        </is>
      </c>
      <c r="C283" s="19" t="inlineStr">
        <is>
          <t>402.91</t>
        </is>
      </c>
      <c r="D283" s="19" t="inlineStr">
        <is>
          <t>Unspecified hypertensive heart disease with heart failure</t>
        </is>
      </c>
      <c r="E283" s="19" t="inlineStr">
        <is>
          <t>billable</t>
        </is>
      </c>
      <c r="F283" s="19" t="inlineStr"/>
      <c r="G283" s="19" t="inlineStr">
        <is>
          <t>yes</t>
        </is>
      </c>
      <c r="H283" s="19" t="inlineStr"/>
    </row>
    <row r="284">
      <c r="A284" s="19" t="inlineStr">
        <is>
          <t>Heart failure</t>
        </is>
      </c>
      <c r="B284" s="19" t="inlineStr">
        <is>
          <t>ICD9CM</t>
        </is>
      </c>
      <c r="C284" s="19" t="inlineStr">
        <is>
          <t>404.01</t>
        </is>
      </c>
      <c r="D284" s="19" t="inlineStr">
        <is>
          <t>Hypertensive heart and chronic kidney disease, malignant, with heart failure and with chronic kidney disease stage I through stage IV, or unspecified</t>
        </is>
      </c>
      <c r="E284" s="19" t="inlineStr">
        <is>
          <t>billable</t>
        </is>
      </c>
      <c r="F284" s="19" t="inlineStr"/>
      <c r="G284" s="19" t="inlineStr">
        <is>
          <t>yes</t>
        </is>
      </c>
      <c r="H284" s="19" t="inlineStr"/>
    </row>
    <row r="285">
      <c r="A285" s="19" t="inlineStr">
        <is>
          <t>Heart failure</t>
        </is>
      </c>
      <c r="B285" s="19" t="inlineStr">
        <is>
          <t>ICD9CM</t>
        </is>
      </c>
      <c r="C285" s="19" t="inlineStr">
        <is>
          <t>404.03</t>
        </is>
      </c>
      <c r="D285" s="19" t="inlineStr">
        <is>
          <t>Hypertensive heart and chronic kidney disease, malignant, with heart failure and with chronic kidney disease stage V or end stage renal disease</t>
        </is>
      </c>
      <c r="E285" s="19" t="inlineStr">
        <is>
          <t>billable</t>
        </is>
      </c>
      <c r="F285" s="19" t="inlineStr"/>
      <c r="G285" s="19" t="inlineStr">
        <is>
          <t>yes</t>
        </is>
      </c>
      <c r="H285" s="19" t="inlineStr"/>
    </row>
    <row r="286">
      <c r="A286" s="19" t="inlineStr">
        <is>
          <t>Heart failure</t>
        </is>
      </c>
      <c r="B286" s="19" t="inlineStr">
        <is>
          <t>ICD9CM</t>
        </is>
      </c>
      <c r="C286" s="19" t="inlineStr">
        <is>
          <t>404.11</t>
        </is>
      </c>
      <c r="D286" s="19" t="inlineStr">
        <is>
          <t>Hypertensive heart and chronic kidney disease, benign, with heart failure and with chronic kidney disease stage I through stage IV, or unspecified</t>
        </is>
      </c>
      <c r="E286" s="19" t="inlineStr">
        <is>
          <t>billable</t>
        </is>
      </c>
      <c r="F286" s="19" t="inlineStr"/>
      <c r="G286" s="19" t="inlineStr">
        <is>
          <t>yes</t>
        </is>
      </c>
      <c r="H286" s="19" t="inlineStr"/>
    </row>
    <row r="287">
      <c r="A287" s="19" t="inlineStr">
        <is>
          <t>Heart failure</t>
        </is>
      </c>
      <c r="B287" s="19" t="inlineStr">
        <is>
          <t>ICD9CM</t>
        </is>
      </c>
      <c r="C287" s="19" t="inlineStr">
        <is>
          <t>404.13</t>
        </is>
      </c>
      <c r="D287" s="19" t="inlineStr">
        <is>
          <t>Hypertensive heart and chronic kidney disease, benign, with heart failure and chronic kidney disease stage V or end stage renal disease</t>
        </is>
      </c>
      <c r="E287" s="19" t="inlineStr">
        <is>
          <t>billable</t>
        </is>
      </c>
      <c r="F287" s="19" t="inlineStr"/>
      <c r="G287" s="19" t="inlineStr">
        <is>
          <t>yes</t>
        </is>
      </c>
      <c r="H287" s="19" t="inlineStr"/>
    </row>
    <row r="288">
      <c r="A288" s="19" t="inlineStr">
        <is>
          <t>Heart failure</t>
        </is>
      </c>
      <c r="B288" s="19" t="inlineStr">
        <is>
          <t>ICD9CM</t>
        </is>
      </c>
      <c r="C288" s="19" t="inlineStr">
        <is>
          <t>404.91</t>
        </is>
      </c>
      <c r="D288" s="19" t="inlineStr">
        <is>
          <t>Hypertensive heart and chronic kidney disease, unspecified, with heart failure and with chronic kidney disease stage I through stage IV, or unspecified</t>
        </is>
      </c>
      <c r="E288" s="19" t="inlineStr">
        <is>
          <t>billable</t>
        </is>
      </c>
      <c r="F288" s="19" t="inlineStr"/>
      <c r="G288" s="19" t="inlineStr">
        <is>
          <t>yes</t>
        </is>
      </c>
      <c r="H288" s="19" t="inlineStr"/>
    </row>
    <row r="289">
      <c r="A289" s="19" t="inlineStr">
        <is>
          <t>Heart failure</t>
        </is>
      </c>
      <c r="B289" s="19" t="inlineStr">
        <is>
          <t>ICD9CM</t>
        </is>
      </c>
      <c r="C289" s="19" t="inlineStr">
        <is>
          <t>404.93</t>
        </is>
      </c>
      <c r="D289" s="19" t="inlineStr">
        <is>
          <t>Hypertensive heart and chronic kidney disease, unspecified, with heart failure and chronic kidney disease stage V or end stage renal disease</t>
        </is>
      </c>
      <c r="E289" s="19" t="inlineStr">
        <is>
          <t>billable</t>
        </is>
      </c>
      <c r="F289" s="19" t="inlineStr"/>
      <c r="G289" s="19" t="inlineStr">
        <is>
          <t>yes</t>
        </is>
      </c>
      <c r="H289" s="19" t="inlineStr"/>
    </row>
    <row r="290">
      <c r="A290" s="19" t="inlineStr">
        <is>
          <t>Heart failure</t>
        </is>
      </c>
      <c r="B290" s="19" t="inlineStr">
        <is>
          <t>ICD9CM</t>
        </is>
      </c>
      <c r="C290" s="19" t="inlineStr">
        <is>
          <t>428.0</t>
        </is>
      </c>
      <c r="D290" s="19" t="inlineStr">
        <is>
          <t>Congestive heart failure, unspecified</t>
        </is>
      </c>
      <c r="E290" s="19" t="inlineStr">
        <is>
          <t>billable</t>
        </is>
      </c>
      <c r="F290" s="19" t="inlineStr"/>
      <c r="G290" s="19" t="inlineStr">
        <is>
          <t>yes</t>
        </is>
      </c>
      <c r="H290" s="19" t="inlineStr"/>
    </row>
    <row r="291">
      <c r="A291" s="19" t="inlineStr">
        <is>
          <t>Heart failure</t>
        </is>
      </c>
      <c r="B291" s="19" t="inlineStr">
        <is>
          <t>ICD9CM</t>
        </is>
      </c>
      <c r="C291" s="19" t="inlineStr">
        <is>
          <t>428.1</t>
        </is>
      </c>
      <c r="D291" s="19" t="inlineStr">
        <is>
          <t>Left heart failure</t>
        </is>
      </c>
      <c r="E291" s="19" t="inlineStr">
        <is>
          <t>billable</t>
        </is>
      </c>
      <c r="F291" s="19" t="inlineStr"/>
      <c r="G291" s="19" t="inlineStr">
        <is>
          <t>yes</t>
        </is>
      </c>
      <c r="H291" s="19" t="inlineStr"/>
    </row>
    <row r="292">
      <c r="A292" s="19" t="inlineStr">
        <is>
          <t>Heart failure</t>
        </is>
      </c>
      <c r="B292" s="19" t="inlineStr">
        <is>
          <t>ICD9CM</t>
        </is>
      </c>
      <c r="C292" s="19" t="inlineStr">
        <is>
          <t>428.20</t>
        </is>
      </c>
      <c r="D292" s="19" t="inlineStr">
        <is>
          <t>Systolic heart failure, unspecified</t>
        </is>
      </c>
      <c r="E292" s="19" t="inlineStr">
        <is>
          <t>billable</t>
        </is>
      </c>
      <c r="F292" s="19" t="inlineStr">
        <is>
          <t>hfref</t>
        </is>
      </c>
      <c r="G292" s="19" t="inlineStr">
        <is>
          <t>yes</t>
        </is>
      </c>
      <c r="H292" s="19" t="inlineStr"/>
    </row>
    <row r="293">
      <c r="A293" s="19" t="inlineStr">
        <is>
          <t>Heart failure</t>
        </is>
      </c>
      <c r="B293" s="19" t="inlineStr">
        <is>
          <t>ICD9CM</t>
        </is>
      </c>
      <c r="C293" s="19" t="inlineStr">
        <is>
          <t>428.21</t>
        </is>
      </c>
      <c r="D293" s="19" t="inlineStr">
        <is>
          <t>Acute systolic heart failure</t>
        </is>
      </c>
      <c r="E293" s="19" t="inlineStr">
        <is>
          <t>billable</t>
        </is>
      </c>
      <c r="F293" s="19" t="inlineStr">
        <is>
          <t>hfref</t>
        </is>
      </c>
      <c r="G293" s="19" t="inlineStr">
        <is>
          <t>yes</t>
        </is>
      </c>
      <c r="H293" s="19" t="inlineStr"/>
    </row>
    <row r="294">
      <c r="A294" s="19" t="inlineStr">
        <is>
          <t>Heart failure</t>
        </is>
      </c>
      <c r="B294" s="19" t="inlineStr">
        <is>
          <t>ICD9CM</t>
        </is>
      </c>
      <c r="C294" s="19" t="inlineStr">
        <is>
          <t>428.22</t>
        </is>
      </c>
      <c r="D294" s="19" t="inlineStr">
        <is>
          <t>Chronic systolic heart failure</t>
        </is>
      </c>
      <c r="E294" s="19" t="inlineStr">
        <is>
          <t>billable</t>
        </is>
      </c>
      <c r="F294" s="19" t="inlineStr">
        <is>
          <t>hfref</t>
        </is>
      </c>
      <c r="G294" s="19" t="inlineStr">
        <is>
          <t>yes</t>
        </is>
      </c>
      <c r="H294" s="19" t="inlineStr"/>
    </row>
    <row r="295">
      <c r="A295" s="19" t="inlineStr">
        <is>
          <t>Heart failure</t>
        </is>
      </c>
      <c r="B295" s="19" t="inlineStr">
        <is>
          <t>ICD9CM</t>
        </is>
      </c>
      <c r="C295" s="19" t="inlineStr">
        <is>
          <t>428.23</t>
        </is>
      </c>
      <c r="D295" s="19" t="inlineStr">
        <is>
          <t>Acute on chronic systolic heart failure</t>
        </is>
      </c>
      <c r="E295" s="19" t="inlineStr">
        <is>
          <t>billable</t>
        </is>
      </c>
      <c r="F295" s="19" t="inlineStr">
        <is>
          <t>hfref</t>
        </is>
      </c>
      <c r="G295" s="19" t="inlineStr">
        <is>
          <t>yes</t>
        </is>
      </c>
      <c r="H295" s="19" t="inlineStr"/>
    </row>
    <row r="296">
      <c r="A296" s="19" t="inlineStr">
        <is>
          <t>Heart failure</t>
        </is>
      </c>
      <c r="B296" s="19" t="inlineStr">
        <is>
          <t>ICD9CM</t>
        </is>
      </c>
      <c r="C296" s="19" t="inlineStr">
        <is>
          <t>428.30</t>
        </is>
      </c>
      <c r="D296" s="19" t="inlineStr">
        <is>
          <t>Diastolic heart failure, unspecified</t>
        </is>
      </c>
      <c r="E296" s="19" t="inlineStr">
        <is>
          <t>billable</t>
        </is>
      </c>
      <c r="F296" s="19" t="inlineStr">
        <is>
          <t>hfpef</t>
        </is>
      </c>
      <c r="G296" s="19" t="inlineStr">
        <is>
          <t>yes</t>
        </is>
      </c>
      <c r="H296" s="19" t="inlineStr"/>
    </row>
    <row r="297">
      <c r="A297" s="19" t="inlineStr">
        <is>
          <t>Heart failure</t>
        </is>
      </c>
      <c r="B297" s="19" t="inlineStr">
        <is>
          <t>ICD9CM</t>
        </is>
      </c>
      <c r="C297" s="19" t="inlineStr">
        <is>
          <t>428.31</t>
        </is>
      </c>
      <c r="D297" s="19" t="inlineStr">
        <is>
          <t>Acute diastolic heart failure</t>
        </is>
      </c>
      <c r="E297" s="19" t="inlineStr">
        <is>
          <t>billable</t>
        </is>
      </c>
      <c r="F297" s="19" t="inlineStr">
        <is>
          <t>hfpef</t>
        </is>
      </c>
      <c r="G297" s="19" t="inlineStr">
        <is>
          <t>yes</t>
        </is>
      </c>
      <c r="H297" s="19" t="inlineStr"/>
    </row>
    <row r="298">
      <c r="A298" s="19" t="inlineStr">
        <is>
          <t>Heart failure</t>
        </is>
      </c>
      <c r="B298" s="19" t="inlineStr">
        <is>
          <t>ICD9CM</t>
        </is>
      </c>
      <c r="C298" s="19" t="inlineStr">
        <is>
          <t>428.32</t>
        </is>
      </c>
      <c r="D298" s="19" t="inlineStr">
        <is>
          <t>Chronic diastolic heart failure</t>
        </is>
      </c>
      <c r="E298" s="19" t="inlineStr">
        <is>
          <t>billable</t>
        </is>
      </c>
      <c r="F298" s="19" t="inlineStr">
        <is>
          <t>hfpef</t>
        </is>
      </c>
      <c r="G298" s="19" t="inlineStr">
        <is>
          <t>yes</t>
        </is>
      </c>
      <c r="H298" s="19" t="inlineStr"/>
    </row>
    <row r="299">
      <c r="A299" s="19" t="inlineStr">
        <is>
          <t>Heart failure</t>
        </is>
      </c>
      <c r="B299" s="19" t="inlineStr">
        <is>
          <t>ICD9CM</t>
        </is>
      </c>
      <c r="C299" s="19" t="inlineStr">
        <is>
          <t>428.33</t>
        </is>
      </c>
      <c r="D299" s="19" t="inlineStr">
        <is>
          <t>Acute on chronic diastolic heart failure</t>
        </is>
      </c>
      <c r="E299" s="19" t="inlineStr">
        <is>
          <t>billable</t>
        </is>
      </c>
      <c r="F299" s="19" t="inlineStr">
        <is>
          <t>hfpef</t>
        </is>
      </c>
      <c r="G299" s="19" t="inlineStr">
        <is>
          <t>yes</t>
        </is>
      </c>
      <c r="H299" s="19" t="inlineStr"/>
    </row>
    <row r="300">
      <c r="A300" s="19" t="inlineStr">
        <is>
          <t>Heart failure</t>
        </is>
      </c>
      <c r="B300" s="19" t="inlineStr">
        <is>
          <t>ICD9CM</t>
        </is>
      </c>
      <c r="C300" s="19" t="inlineStr">
        <is>
          <t>428.40</t>
        </is>
      </c>
      <c r="D300" s="19" t="inlineStr">
        <is>
          <t>Combined systolic and diastolic heart failure, unspecified</t>
        </is>
      </c>
      <c r="E300" s="19" t="inlineStr">
        <is>
          <t>billable</t>
        </is>
      </c>
      <c r="F300" s="19" t="inlineStr">
        <is>
          <t>hfref</t>
        </is>
      </c>
      <c r="G300" s="19" t="inlineStr">
        <is>
          <t>yes</t>
        </is>
      </c>
      <c r="H300" s="19" t="inlineStr"/>
    </row>
    <row r="301">
      <c r="A301" s="19" t="inlineStr">
        <is>
          <t>Heart failure</t>
        </is>
      </c>
      <c r="B301" s="19" t="inlineStr">
        <is>
          <t>ICD9CM</t>
        </is>
      </c>
      <c r="C301" s="19" t="inlineStr">
        <is>
          <t>428.41</t>
        </is>
      </c>
      <c r="D301" s="19" t="inlineStr">
        <is>
          <t>Acute combined systolic and diastolic heart failure</t>
        </is>
      </c>
      <c r="E301" s="19" t="inlineStr">
        <is>
          <t>billable</t>
        </is>
      </c>
      <c r="F301" s="19" t="inlineStr">
        <is>
          <t>hfref</t>
        </is>
      </c>
      <c r="G301" s="19" t="inlineStr">
        <is>
          <t>yes</t>
        </is>
      </c>
      <c r="H301" s="19" t="inlineStr"/>
    </row>
    <row r="302">
      <c r="A302" s="19" t="inlineStr">
        <is>
          <t>Heart failure</t>
        </is>
      </c>
      <c r="B302" s="19" t="inlineStr">
        <is>
          <t>ICD9CM</t>
        </is>
      </c>
      <c r="C302" s="19" t="inlineStr">
        <is>
          <t>428.42</t>
        </is>
      </c>
      <c r="D302" s="19" t="inlineStr">
        <is>
          <t>Chronic combined systolic and diastolic heart failure</t>
        </is>
      </c>
      <c r="E302" s="19" t="inlineStr">
        <is>
          <t>billable</t>
        </is>
      </c>
      <c r="F302" s="19" t="inlineStr">
        <is>
          <t>hfref</t>
        </is>
      </c>
      <c r="G302" s="19" t="inlineStr">
        <is>
          <t>yes</t>
        </is>
      </c>
      <c r="H302" s="19" t="inlineStr"/>
    </row>
    <row r="303">
      <c r="A303" s="19" t="inlineStr">
        <is>
          <t>Heart failure</t>
        </is>
      </c>
      <c r="B303" s="19" t="inlineStr">
        <is>
          <t>ICD9CM</t>
        </is>
      </c>
      <c r="C303" s="19" t="inlineStr">
        <is>
          <t>428.43</t>
        </is>
      </c>
      <c r="D303" s="19" t="inlineStr">
        <is>
          <t>Acute on chronic combined systolic and diastolic heart failure</t>
        </is>
      </c>
      <c r="E303" s="19" t="inlineStr">
        <is>
          <t>billable</t>
        </is>
      </c>
      <c r="F303" s="19" t="inlineStr">
        <is>
          <t>hfref</t>
        </is>
      </c>
      <c r="G303" s="19" t="inlineStr">
        <is>
          <t>yes</t>
        </is>
      </c>
      <c r="H303" s="19" t="inlineStr"/>
    </row>
    <row r="304">
      <c r="A304" s="19" t="inlineStr">
        <is>
          <t>Heart failure</t>
        </is>
      </c>
      <c r="B304" s="19" t="inlineStr">
        <is>
          <t>ICD9CM</t>
        </is>
      </c>
      <c r="C304" s="19" t="inlineStr">
        <is>
          <t>428.9</t>
        </is>
      </c>
      <c r="D304" s="19" t="inlineStr">
        <is>
          <t>Heart failure, unspecified</t>
        </is>
      </c>
      <c r="E304" s="19" t="inlineStr">
        <is>
          <t>billable</t>
        </is>
      </c>
      <c r="F304" s="19" t="inlineStr"/>
      <c r="G304" s="19" t="inlineStr">
        <is>
          <t>yes</t>
        </is>
      </c>
      <c r="H304" s="19" t="inlineStr"/>
    </row>
    <row r="305">
      <c r="A305" s="19" t="inlineStr">
        <is>
          <t>SCD / VA</t>
        </is>
      </c>
      <c r="B305" s="19" t="inlineStr">
        <is>
          <t>ICD10CM</t>
        </is>
      </c>
      <c r="C305" s="19" t="inlineStr">
        <is>
          <t>I46</t>
        </is>
      </c>
      <c r="D305" s="19" t="inlineStr">
        <is>
          <t>Cardiac arrest</t>
        </is>
      </c>
      <c r="E305" s="19" t="inlineStr">
        <is>
          <t>header (not billable in FY2026; may appear in older records)</t>
        </is>
      </c>
      <c r="F305" s="19" t="inlineStr">
        <is>
          <t>arrest</t>
        </is>
      </c>
      <c r="G305" s="19" t="inlineStr">
        <is>
          <t>yes</t>
        </is>
      </c>
      <c r="H305" s="19" t="inlineStr"/>
    </row>
    <row r="306">
      <c r="A306" s="19" t="inlineStr">
        <is>
          <t>SCD / VA</t>
        </is>
      </c>
      <c r="B306" s="19" t="inlineStr">
        <is>
          <t>ICD10CM</t>
        </is>
      </c>
      <c r="C306" s="19" t="inlineStr">
        <is>
          <t>I46.2</t>
        </is>
      </c>
      <c r="D306" s="19" t="inlineStr">
        <is>
          <t>Cardiac arrest due to underlying cardiac condition</t>
        </is>
      </c>
      <c r="E306" s="19" t="inlineStr">
        <is>
          <t>billable</t>
        </is>
      </c>
      <c r="F306" s="19" t="inlineStr">
        <is>
          <t>arrest</t>
        </is>
      </c>
      <c r="G306" s="19" t="inlineStr">
        <is>
          <t>yes</t>
        </is>
      </c>
      <c r="H306" s="19" t="inlineStr"/>
    </row>
    <row r="307">
      <c r="A307" s="19" t="inlineStr">
        <is>
          <t>SCD / VA</t>
        </is>
      </c>
      <c r="B307" s="19" t="inlineStr">
        <is>
          <t>ICD10CM</t>
        </is>
      </c>
      <c r="C307" s="19" t="inlineStr">
        <is>
          <t>I46.8</t>
        </is>
      </c>
      <c r="D307" s="19" t="inlineStr">
        <is>
          <t>Cardiac arrest due to other underlying condition</t>
        </is>
      </c>
      <c r="E307" s="19" t="inlineStr">
        <is>
          <t>billable</t>
        </is>
      </c>
      <c r="F307" s="19" t="inlineStr">
        <is>
          <t>arrest</t>
        </is>
      </c>
      <c r="G307" s="19" t="inlineStr">
        <is>
          <t>yes</t>
        </is>
      </c>
      <c r="H307" s="19" t="inlineStr"/>
    </row>
    <row r="308">
      <c r="A308" s="19" t="inlineStr">
        <is>
          <t>SCD / VA</t>
        </is>
      </c>
      <c r="B308" s="19" t="inlineStr">
        <is>
          <t>ICD10CM</t>
        </is>
      </c>
      <c r="C308" s="19" t="inlineStr">
        <is>
          <t>I46.9</t>
        </is>
      </c>
      <c r="D308" s="19" t="inlineStr">
        <is>
          <t>Cardiac arrest, cause unspecified</t>
        </is>
      </c>
      <c r="E308" s="19" t="inlineStr">
        <is>
          <t>billable</t>
        </is>
      </c>
      <c r="F308" s="19" t="inlineStr">
        <is>
          <t>arrest</t>
        </is>
      </c>
      <c r="G308" s="19" t="inlineStr">
        <is>
          <t>yes</t>
        </is>
      </c>
      <c r="H308" s="19" t="inlineStr"/>
    </row>
    <row r="309">
      <c r="A309" s="19" t="inlineStr">
        <is>
          <t>SCD / VA</t>
        </is>
      </c>
      <c r="B309" s="19" t="inlineStr">
        <is>
          <t>ICD10CM</t>
        </is>
      </c>
      <c r="C309" s="19" t="inlineStr">
        <is>
          <t>I47.2</t>
        </is>
      </c>
      <c r="D309" s="19" t="inlineStr">
        <is>
          <t>Ventricular tachycardia</t>
        </is>
      </c>
      <c r="E309" s="19" t="inlineStr">
        <is>
          <t>header (not billable in FY2026; may appear in older records)</t>
        </is>
      </c>
      <c r="F309" s="19" t="inlineStr">
        <is>
          <t>vt</t>
        </is>
      </c>
      <c r="G309" s="19" t="inlineStr">
        <is>
          <t>yes</t>
        </is>
      </c>
      <c r="H309" s="19" t="inlineStr"/>
    </row>
    <row r="310">
      <c r="A310" s="19" t="inlineStr">
        <is>
          <t>SCD / VA</t>
        </is>
      </c>
      <c r="B310" s="19" t="inlineStr">
        <is>
          <t>ICD10CM</t>
        </is>
      </c>
      <c r="C310" s="19" t="inlineStr">
        <is>
          <t>I47.20</t>
        </is>
      </c>
      <c r="D310" s="19" t="inlineStr">
        <is>
          <t>Ventricular tachycardia, unspecified</t>
        </is>
      </c>
      <c r="E310" s="19" t="inlineStr">
        <is>
          <t>billable</t>
        </is>
      </c>
      <c r="F310" s="19" t="inlineStr">
        <is>
          <t>vt</t>
        </is>
      </c>
      <c r="G310" s="19" t="inlineStr">
        <is>
          <t>yes</t>
        </is>
      </c>
      <c r="H310" s="19" t="inlineStr"/>
    </row>
    <row r="311">
      <c r="A311" s="19" t="inlineStr">
        <is>
          <t>SCD / VA</t>
        </is>
      </c>
      <c r="B311" s="19" t="inlineStr">
        <is>
          <t>ICD10CM</t>
        </is>
      </c>
      <c r="C311" s="19" t="inlineStr">
        <is>
          <t>I47.21</t>
        </is>
      </c>
      <c r="D311" s="19" t="inlineStr">
        <is>
          <t>Torsades de pointes</t>
        </is>
      </c>
      <c r="E311" s="19" t="inlineStr">
        <is>
          <t>billable</t>
        </is>
      </c>
      <c r="F311" s="19" t="inlineStr">
        <is>
          <t>vt</t>
        </is>
      </c>
      <c r="G311" s="19" t="inlineStr">
        <is>
          <t>yes</t>
        </is>
      </c>
      <c r="H311" s="19" t="inlineStr"/>
    </row>
    <row r="312">
      <c r="A312" s="19" t="inlineStr">
        <is>
          <t>SCD / VA</t>
        </is>
      </c>
      <c r="B312" s="19" t="inlineStr">
        <is>
          <t>ICD10CM</t>
        </is>
      </c>
      <c r="C312" s="19" t="inlineStr">
        <is>
          <t>I47.29</t>
        </is>
      </c>
      <c r="D312" s="19" t="inlineStr">
        <is>
          <t>Other ventricular tachycardia</t>
        </is>
      </c>
      <c r="E312" s="19" t="inlineStr">
        <is>
          <t>billable</t>
        </is>
      </c>
      <c r="F312" s="19" t="inlineStr">
        <is>
          <t>vt</t>
        </is>
      </c>
      <c r="G312" s="19" t="inlineStr">
        <is>
          <t>yes</t>
        </is>
      </c>
      <c r="H312" s="19" t="inlineStr"/>
    </row>
    <row r="313">
      <c r="A313" s="19" t="inlineStr">
        <is>
          <t>SCD / VA</t>
        </is>
      </c>
      <c r="B313" s="19" t="inlineStr">
        <is>
          <t>ICD10CM</t>
        </is>
      </c>
      <c r="C313" s="19" t="inlineStr">
        <is>
          <t>I49.01</t>
        </is>
      </c>
      <c r="D313" s="19" t="inlineStr">
        <is>
          <t>Ventricular fibrillation</t>
        </is>
      </c>
      <c r="E313" s="19" t="inlineStr">
        <is>
          <t>billable</t>
        </is>
      </c>
      <c r="F313" s="19" t="inlineStr">
        <is>
          <t>vf</t>
        </is>
      </c>
      <c r="G313" s="19" t="inlineStr">
        <is>
          <t>yes</t>
        </is>
      </c>
      <c r="H313" s="19" t="inlineStr"/>
    </row>
    <row r="314">
      <c r="A314" s="19" t="inlineStr">
        <is>
          <t>SCD / VA</t>
        </is>
      </c>
      <c r="B314" s="19" t="inlineStr">
        <is>
          <t>ICD10CM</t>
        </is>
      </c>
      <c r="C314" s="19" t="inlineStr">
        <is>
          <t>I49.02</t>
        </is>
      </c>
      <c r="D314" s="19" t="inlineStr">
        <is>
          <t>Ventricular flutter</t>
        </is>
      </c>
      <c r="E314" s="19" t="inlineStr">
        <is>
          <t>billable</t>
        </is>
      </c>
      <c r="F314" s="19" t="inlineStr">
        <is>
          <t>vf</t>
        </is>
      </c>
      <c r="G314" s="19" t="inlineStr">
        <is>
          <t>yes</t>
        </is>
      </c>
      <c r="H314" s="19" t="inlineStr"/>
    </row>
    <row r="315">
      <c r="A315" s="19" t="inlineStr">
        <is>
          <t>SCD / VA</t>
        </is>
      </c>
      <c r="B315" s="19" t="inlineStr">
        <is>
          <t>ICD10CM</t>
        </is>
      </c>
      <c r="C315" s="19" t="inlineStr">
        <is>
          <t>I97.12</t>
        </is>
      </c>
      <c r="D315" s="19" t="inlineStr">
        <is>
          <t>Postprocedural cardiac arrest</t>
        </is>
      </c>
      <c r="E315" s="19" t="inlineStr">
        <is>
          <t>header (not billable in FY2026; may appear in older records)</t>
        </is>
      </c>
      <c r="F315" s="19" t="inlineStr">
        <is>
          <t>arrest</t>
        </is>
      </c>
      <c r="G315" s="19" t="inlineStr">
        <is>
          <t>yes</t>
        </is>
      </c>
      <c r="H315" s="19" t="inlineStr"/>
    </row>
    <row r="316">
      <c r="A316" s="19" t="inlineStr">
        <is>
          <t>SCD / VA</t>
        </is>
      </c>
      <c r="B316" s="19" t="inlineStr">
        <is>
          <t>ICD10CM</t>
        </is>
      </c>
      <c r="C316" s="19" t="inlineStr">
        <is>
          <t>I97.120</t>
        </is>
      </c>
      <c r="D316" s="19" t="inlineStr">
        <is>
          <t>Postprocedural cardiac arrest following cardiac surgery</t>
        </is>
      </c>
      <c r="E316" s="19" t="inlineStr">
        <is>
          <t>billable</t>
        </is>
      </c>
      <c r="F316" s="19" t="inlineStr">
        <is>
          <t>arrest</t>
        </is>
      </c>
      <c r="G316" s="19" t="inlineStr">
        <is>
          <t>yes</t>
        </is>
      </c>
      <c r="H316" s="19" t="inlineStr"/>
    </row>
    <row r="317">
      <c r="A317" s="19" t="inlineStr">
        <is>
          <t>SCD / VA</t>
        </is>
      </c>
      <c r="B317" s="19" t="inlineStr">
        <is>
          <t>ICD10CM</t>
        </is>
      </c>
      <c r="C317" s="19" t="inlineStr">
        <is>
          <t>I97.121</t>
        </is>
      </c>
      <c r="D317" s="19" t="inlineStr">
        <is>
          <t>Postprocedural cardiac arrest following other surgery</t>
        </is>
      </c>
      <c r="E317" s="19" t="inlineStr">
        <is>
          <t>billable</t>
        </is>
      </c>
      <c r="F317" s="19" t="inlineStr">
        <is>
          <t>arrest</t>
        </is>
      </c>
      <c r="G317" s="19" t="inlineStr">
        <is>
          <t>yes</t>
        </is>
      </c>
      <c r="H317" s="19" t="inlineStr"/>
    </row>
    <row r="318">
      <c r="A318" s="19" t="inlineStr">
        <is>
          <t>SCD / VA</t>
        </is>
      </c>
      <c r="B318" s="19" t="inlineStr">
        <is>
          <t>ICD9CM</t>
        </is>
      </c>
      <c r="C318" s="19" t="inlineStr">
        <is>
          <t>427.1</t>
        </is>
      </c>
      <c r="D318" s="19" t="inlineStr">
        <is>
          <t>Paroxysmal ventricular tachycardia</t>
        </is>
      </c>
      <c r="E318" s="19" t="inlineStr">
        <is>
          <t>billable</t>
        </is>
      </c>
      <c r="F318" s="19" t="inlineStr">
        <is>
          <t>vt</t>
        </is>
      </c>
      <c r="G318" s="19" t="inlineStr">
        <is>
          <t>yes</t>
        </is>
      </c>
      <c r="H318" s="19" t="inlineStr"/>
    </row>
    <row r="319">
      <c r="A319" s="19" t="inlineStr">
        <is>
          <t>SCD / VA</t>
        </is>
      </c>
      <c r="B319" s="19" t="inlineStr">
        <is>
          <t>ICD9CM</t>
        </is>
      </c>
      <c r="C319" s="19" t="inlineStr">
        <is>
          <t>427.41</t>
        </is>
      </c>
      <c r="D319" s="19" t="inlineStr">
        <is>
          <t>Ventricular fibrillation</t>
        </is>
      </c>
      <c r="E319" s="19" t="inlineStr">
        <is>
          <t>billable</t>
        </is>
      </c>
      <c r="F319" s="19" t="inlineStr">
        <is>
          <t>vf</t>
        </is>
      </c>
      <c r="G319" s="19" t="inlineStr">
        <is>
          <t>yes</t>
        </is>
      </c>
      <c r="H319" s="19" t="inlineStr"/>
    </row>
    <row r="320">
      <c r="A320" s="19" t="inlineStr">
        <is>
          <t>SCD / VA</t>
        </is>
      </c>
      <c r="B320" s="19" t="inlineStr">
        <is>
          <t>ICD9CM</t>
        </is>
      </c>
      <c r="C320" s="19" t="inlineStr">
        <is>
          <t>427.42</t>
        </is>
      </c>
      <c r="D320" s="19" t="inlineStr">
        <is>
          <t>Ventricular flutter</t>
        </is>
      </c>
      <c r="E320" s="19" t="inlineStr">
        <is>
          <t>billable</t>
        </is>
      </c>
      <c r="F320" s="19" t="inlineStr">
        <is>
          <t>vf</t>
        </is>
      </c>
      <c r="G320" s="19" t="inlineStr">
        <is>
          <t>yes</t>
        </is>
      </c>
      <c r="H320" s="19" t="inlineStr"/>
    </row>
    <row r="321">
      <c r="A321" s="19" t="inlineStr">
        <is>
          <t>SCD / VA</t>
        </is>
      </c>
      <c r="B321" s="19" t="inlineStr">
        <is>
          <t>ICD9CM</t>
        </is>
      </c>
      <c r="C321" s="19" t="inlineStr">
        <is>
          <t>427.5</t>
        </is>
      </c>
      <c r="D321" s="19" t="inlineStr">
        <is>
          <t>Cardiac arrest</t>
        </is>
      </c>
      <c r="E321" s="19" t="inlineStr">
        <is>
          <t>billable</t>
        </is>
      </c>
      <c r="F321" s="19" t="inlineStr">
        <is>
          <t>arrest</t>
        </is>
      </c>
      <c r="G321" s="19" t="inlineStr">
        <is>
          <t>yes</t>
        </is>
      </c>
      <c r="H321" s="19" t="inlineStr"/>
    </row>
    <row r="322">
      <c r="A322" s="19" t="inlineStr">
        <is>
          <t>AF / flutter</t>
        </is>
      </c>
      <c r="B322" s="19" t="inlineStr">
        <is>
          <t>ICD10CM</t>
        </is>
      </c>
      <c r="C322" s="19" t="inlineStr">
        <is>
          <t>I48</t>
        </is>
      </c>
      <c r="D322" s="19" t="inlineStr">
        <is>
          <t>Atrial fibrillation and flutter</t>
        </is>
      </c>
      <c r="E322" s="19" t="inlineStr">
        <is>
          <t>header (not billable in FY2026; may appear in older records)</t>
        </is>
      </c>
      <c r="F322" s="19" t="inlineStr"/>
      <c r="G322" s="19" t="inlineStr">
        <is>
          <t>yes</t>
        </is>
      </c>
      <c r="H322" s="19" t="inlineStr"/>
    </row>
    <row r="323">
      <c r="A323" s="19" t="inlineStr">
        <is>
          <t>AF / flutter</t>
        </is>
      </c>
      <c r="B323" s="19" t="inlineStr">
        <is>
          <t>ICD10CM</t>
        </is>
      </c>
      <c r="C323" s="19" t="inlineStr">
        <is>
          <t>I48.0</t>
        </is>
      </c>
      <c r="D323" s="19" t="inlineStr">
        <is>
          <t>Paroxysmal atrial fibrillation</t>
        </is>
      </c>
      <c r="E323" s="19" t="inlineStr">
        <is>
          <t>billable</t>
        </is>
      </c>
      <c r="F323" s="19" t="inlineStr"/>
      <c r="G323" s="19" t="inlineStr">
        <is>
          <t>yes</t>
        </is>
      </c>
      <c r="H323" s="19" t="inlineStr"/>
    </row>
    <row r="324">
      <c r="A324" s="19" t="inlineStr">
        <is>
          <t>AF / flutter</t>
        </is>
      </c>
      <c r="B324" s="19" t="inlineStr">
        <is>
          <t>ICD10CM</t>
        </is>
      </c>
      <c r="C324" s="19" t="inlineStr">
        <is>
          <t>I48.1</t>
        </is>
      </c>
      <c r="D324" s="19" t="inlineStr">
        <is>
          <t>Persistent atrial fibrillation</t>
        </is>
      </c>
      <c r="E324" s="19" t="inlineStr">
        <is>
          <t>header (not billable in FY2026; may appear in older records)</t>
        </is>
      </c>
      <c r="F324" s="19" t="inlineStr"/>
      <c r="G324" s="19" t="inlineStr">
        <is>
          <t>yes</t>
        </is>
      </c>
      <c r="H324" s="19" t="inlineStr"/>
    </row>
    <row r="325">
      <c r="A325" s="19" t="inlineStr">
        <is>
          <t>AF / flutter</t>
        </is>
      </c>
      <c r="B325" s="19" t="inlineStr">
        <is>
          <t>ICD10CM</t>
        </is>
      </c>
      <c r="C325" s="19" t="inlineStr">
        <is>
          <t>I48.11</t>
        </is>
      </c>
      <c r="D325" s="19" t="inlineStr">
        <is>
          <t>Longstanding persistent atrial fibrillation</t>
        </is>
      </c>
      <c r="E325" s="19" t="inlineStr">
        <is>
          <t>billable</t>
        </is>
      </c>
      <c r="F325" s="19" t="inlineStr"/>
      <c r="G325" s="19" t="inlineStr">
        <is>
          <t>yes</t>
        </is>
      </c>
      <c r="H325" s="19" t="inlineStr"/>
    </row>
    <row r="326">
      <c r="A326" s="19" t="inlineStr">
        <is>
          <t>AF / flutter</t>
        </is>
      </c>
      <c r="B326" s="19" t="inlineStr">
        <is>
          <t>ICD10CM</t>
        </is>
      </c>
      <c r="C326" s="19" t="inlineStr">
        <is>
          <t>I48.19</t>
        </is>
      </c>
      <c r="D326" s="19" t="inlineStr">
        <is>
          <t>Other persistent atrial fibrillation</t>
        </is>
      </c>
      <c r="E326" s="19" t="inlineStr">
        <is>
          <t>billable</t>
        </is>
      </c>
      <c r="F326" s="19" t="inlineStr"/>
      <c r="G326" s="19" t="inlineStr">
        <is>
          <t>yes</t>
        </is>
      </c>
      <c r="H326" s="19" t="inlineStr"/>
    </row>
    <row r="327">
      <c r="A327" s="19" t="inlineStr">
        <is>
          <t>AF / flutter</t>
        </is>
      </c>
      <c r="B327" s="19" t="inlineStr">
        <is>
          <t>ICD10CM</t>
        </is>
      </c>
      <c r="C327" s="19" t="inlineStr">
        <is>
          <t>I48.2</t>
        </is>
      </c>
      <c r="D327" s="19" t="inlineStr">
        <is>
          <t>Chronic atrial fibrillation</t>
        </is>
      </c>
      <c r="E327" s="19" t="inlineStr">
        <is>
          <t>header (not billable in FY2026; may appear in older records)</t>
        </is>
      </c>
      <c r="F327" s="19" t="inlineStr"/>
      <c r="G327" s="19" t="inlineStr">
        <is>
          <t>yes</t>
        </is>
      </c>
      <c r="H327" s="19" t="inlineStr"/>
    </row>
    <row r="328">
      <c r="A328" s="19" t="inlineStr">
        <is>
          <t>AF / flutter</t>
        </is>
      </c>
      <c r="B328" s="19" t="inlineStr">
        <is>
          <t>ICD10CM</t>
        </is>
      </c>
      <c r="C328" s="19" t="inlineStr">
        <is>
          <t>I48.20</t>
        </is>
      </c>
      <c r="D328" s="19" t="inlineStr">
        <is>
          <t>Chronic atrial fibrillation, unspecified</t>
        </is>
      </c>
      <c r="E328" s="19" t="inlineStr">
        <is>
          <t>billable</t>
        </is>
      </c>
      <c r="F328" s="19" t="inlineStr"/>
      <c r="G328" s="19" t="inlineStr">
        <is>
          <t>yes</t>
        </is>
      </c>
      <c r="H328" s="19" t="inlineStr"/>
    </row>
    <row r="329">
      <c r="A329" s="19" t="inlineStr">
        <is>
          <t>AF / flutter</t>
        </is>
      </c>
      <c r="B329" s="19" t="inlineStr">
        <is>
          <t>ICD10CM</t>
        </is>
      </c>
      <c r="C329" s="19" t="inlineStr">
        <is>
          <t>I48.21</t>
        </is>
      </c>
      <c r="D329" s="19" t="inlineStr">
        <is>
          <t>Permanent atrial fibrillation</t>
        </is>
      </c>
      <c r="E329" s="19" t="inlineStr">
        <is>
          <t>billable</t>
        </is>
      </c>
      <c r="F329" s="19" t="inlineStr"/>
      <c r="G329" s="19" t="inlineStr">
        <is>
          <t>yes</t>
        </is>
      </c>
      <c r="H329" s="19" t="inlineStr"/>
    </row>
    <row r="330">
      <c r="A330" s="19" t="inlineStr">
        <is>
          <t>AF / flutter</t>
        </is>
      </c>
      <c r="B330" s="19" t="inlineStr">
        <is>
          <t>ICD10CM</t>
        </is>
      </c>
      <c r="C330" s="19" t="inlineStr">
        <is>
          <t>I48.3</t>
        </is>
      </c>
      <c r="D330" s="19" t="inlineStr">
        <is>
          <t>Typical atrial flutter</t>
        </is>
      </c>
      <c r="E330" s="19" t="inlineStr">
        <is>
          <t>billable</t>
        </is>
      </c>
      <c r="F330" s="19" t="inlineStr">
        <is>
          <t>flutter</t>
        </is>
      </c>
      <c r="G330" s="19" t="inlineStr">
        <is>
          <t>yes</t>
        </is>
      </c>
      <c r="H330" s="19" t="inlineStr"/>
    </row>
    <row r="331">
      <c r="A331" s="19" t="inlineStr">
        <is>
          <t>AF / flutter</t>
        </is>
      </c>
      <c r="B331" s="19" t="inlineStr">
        <is>
          <t>ICD10CM</t>
        </is>
      </c>
      <c r="C331" s="19" t="inlineStr">
        <is>
          <t>I48.4</t>
        </is>
      </c>
      <c r="D331" s="19" t="inlineStr">
        <is>
          <t>Atypical atrial flutter</t>
        </is>
      </c>
      <c r="E331" s="19" t="inlineStr">
        <is>
          <t>billable</t>
        </is>
      </c>
      <c r="F331" s="19" t="inlineStr">
        <is>
          <t>flutter</t>
        </is>
      </c>
      <c r="G331" s="19" t="inlineStr">
        <is>
          <t>yes</t>
        </is>
      </c>
      <c r="H331" s="19" t="inlineStr"/>
    </row>
    <row r="332">
      <c r="A332" s="19" t="inlineStr">
        <is>
          <t>AF / flutter</t>
        </is>
      </c>
      <c r="B332" s="19" t="inlineStr">
        <is>
          <t>ICD10CM</t>
        </is>
      </c>
      <c r="C332" s="19" t="inlineStr">
        <is>
          <t>I48.9</t>
        </is>
      </c>
      <c r="D332" s="19" t="inlineStr">
        <is>
          <t>Unspecified atrial fibrillation and atrial flutter</t>
        </is>
      </c>
      <c r="E332" s="19" t="inlineStr">
        <is>
          <t>header (not billable in FY2026; may appear in older records)</t>
        </is>
      </c>
      <c r="F332" s="19" t="inlineStr"/>
      <c r="G332" s="19" t="inlineStr">
        <is>
          <t>yes</t>
        </is>
      </c>
      <c r="H332" s="19" t="inlineStr"/>
    </row>
    <row r="333">
      <c r="A333" s="19" t="inlineStr">
        <is>
          <t>AF / flutter</t>
        </is>
      </c>
      <c r="B333" s="19" t="inlineStr">
        <is>
          <t>ICD10CM</t>
        </is>
      </c>
      <c r="C333" s="19" t="inlineStr">
        <is>
          <t>I48.91</t>
        </is>
      </c>
      <c r="D333" s="19" t="inlineStr">
        <is>
          <t>Unspecified atrial fibrillation</t>
        </is>
      </c>
      <c r="E333" s="19" t="inlineStr">
        <is>
          <t>billable</t>
        </is>
      </c>
      <c r="F333" s="19" t="inlineStr"/>
      <c r="G333" s="19" t="inlineStr">
        <is>
          <t>yes</t>
        </is>
      </c>
      <c r="H333" s="19" t="inlineStr"/>
    </row>
    <row r="334">
      <c r="A334" s="19" t="inlineStr">
        <is>
          <t>AF / flutter</t>
        </is>
      </c>
      <c r="B334" s="19" t="inlineStr">
        <is>
          <t>ICD10CM</t>
        </is>
      </c>
      <c r="C334" s="19" t="inlineStr">
        <is>
          <t>I48.92</t>
        </is>
      </c>
      <c r="D334" s="19" t="inlineStr">
        <is>
          <t>Unspecified atrial flutter</t>
        </is>
      </c>
      <c r="E334" s="19" t="inlineStr">
        <is>
          <t>billable</t>
        </is>
      </c>
      <c r="F334" s="19" t="inlineStr">
        <is>
          <t>flutter</t>
        </is>
      </c>
      <c r="G334" s="19" t="inlineStr">
        <is>
          <t>yes</t>
        </is>
      </c>
      <c r="H334" s="19" t="inlineStr"/>
    </row>
    <row r="335">
      <c r="A335" s="19" t="inlineStr">
        <is>
          <t>AF / flutter</t>
        </is>
      </c>
      <c r="B335" s="19" t="inlineStr">
        <is>
          <t>ICD9CM</t>
        </is>
      </c>
      <c r="C335" s="19" t="inlineStr">
        <is>
          <t>427.31</t>
        </is>
      </c>
      <c r="D335" s="19" t="inlineStr">
        <is>
          <t>Atrial fibrillation</t>
        </is>
      </c>
      <c r="E335" s="19" t="inlineStr">
        <is>
          <t>billable</t>
        </is>
      </c>
      <c r="F335" s="19" t="inlineStr"/>
      <c r="G335" s="19" t="inlineStr">
        <is>
          <t>yes</t>
        </is>
      </c>
      <c r="H335" s="19" t="inlineStr"/>
    </row>
    <row r="336">
      <c r="A336" s="19" t="inlineStr">
        <is>
          <t>AF / flutter</t>
        </is>
      </c>
      <c r="B336" s="19" t="inlineStr">
        <is>
          <t>ICD9CM</t>
        </is>
      </c>
      <c r="C336" s="19" t="inlineStr">
        <is>
          <t>427.32</t>
        </is>
      </c>
      <c r="D336" s="19" t="inlineStr">
        <is>
          <t>Atrial flutter</t>
        </is>
      </c>
      <c r="E336" s="19" t="inlineStr">
        <is>
          <t>billable</t>
        </is>
      </c>
      <c r="F336" s="19" t="inlineStr">
        <is>
          <t>flutter</t>
        </is>
      </c>
      <c r="G336" s="19" t="inlineStr">
        <is>
          <t>yes</t>
        </is>
      </c>
      <c r="H336" s="19" t="inlineStr"/>
    </row>
  </sheetData>
  <autoFilter ref="A2:H336"/>
  <mergeCells count="1">
    <mergeCell ref="A1:H1"/>
  </mergeCells>
  <pageMargins left="0.75" right="0.75" top="1" bottom="1" header="0.5" footer="0.5"/>
</worksheet>
</file>

<file path=xl/worksheets/sheet6.xml><?xml version="1.0" encoding="utf-8"?>
<worksheet xmlns="http://schemas.openxmlformats.org/spreadsheetml/2006/main">
  <sheetPr filterMode="0">
    <outlinePr summaryBelow="1" summaryRight="1"/>
    <pageSetUpPr fitToPage="0"/>
  </sheetPr>
  <dimension ref="A1:N35"/>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baseColWidth="8" defaultColWidth="8.6796875" defaultRowHeight="15" zeroHeight="0" outlineLevelRow="0"/>
  <cols>
    <col width="16" customWidth="1" style="10" min="1" max="1"/>
    <col width="30" customWidth="1" style="10" min="2" max="2"/>
    <col width="13" customWidth="1" style="10" min="3" max="3"/>
    <col width="9" customWidth="1" style="10" min="4" max="4"/>
    <col width="22" customWidth="1" style="10" min="5" max="5"/>
    <col width="9" customWidth="1" style="10" min="6" max="6"/>
    <col width="15" customWidth="1" style="10" min="7" max="7"/>
    <col width="6" customWidth="1" style="10" min="8" max="8"/>
    <col width="7" customWidth="1" style="10" min="9" max="9"/>
    <col width="6" customWidth="1" style="10" min="10" max="12"/>
    <col width="28" customWidth="1" style="10" min="13" max="13"/>
    <col width="60" customWidth="1" style="10" min="14" max="14"/>
  </cols>
  <sheetData>
    <row r="1" ht="30" customHeight="1" s="11">
      <c r="A1" s="20" t="inlineStr">
        <is>
          <t>Inputs entered in the Render app and extracted the same way from OMOP for training. Missing optional values are handled natively by the models. Y = shown on that calculator's form.</t>
        </is>
      </c>
    </row>
    <row r="2" ht="23.85" customHeight="1" s="11">
      <c r="A2" s="14" t="inlineStr">
        <is>
          <t>Input key</t>
        </is>
      </c>
      <c r="B2" s="14" t="inlineStr">
        <is>
          <t>Label</t>
        </is>
      </c>
      <c r="C2" s="14" t="inlineStr">
        <is>
          <t>Unit</t>
        </is>
      </c>
      <c r="D2" s="14" t="inlineStr">
        <is>
          <t>Type</t>
        </is>
      </c>
      <c r="E2" s="14" t="inlineStr">
        <is>
          <t>Allowed range / options</t>
        </is>
      </c>
      <c r="F2" s="14" t="inlineStr">
        <is>
          <t>Required</t>
        </is>
      </c>
      <c r="G2" s="14" t="inlineStr">
        <is>
          <t>Section</t>
        </is>
      </c>
      <c r="H2" s="14" t="inlineStr">
        <is>
          <t>AMI</t>
        </is>
      </c>
      <c r="I2" s="14" t="inlineStr">
        <is>
          <t>Stroke</t>
        </is>
      </c>
      <c r="J2" s="14" t="inlineStr">
        <is>
          <t>HF</t>
        </is>
      </c>
      <c r="K2" s="14" t="inlineStr">
        <is>
          <t>SCD</t>
        </is>
      </c>
      <c r="L2" s="14" t="inlineStr">
        <is>
          <t>AF</t>
        </is>
      </c>
      <c r="M2" s="14" t="inlineStr">
        <is>
          <t>Model features derived</t>
        </is>
      </c>
      <c r="N2" s="14" t="inlineStr">
        <is>
          <t>Source on Mayo Clinic Platform (training)</t>
        </is>
      </c>
    </row>
    <row r="3" ht="23.85" customHeight="1" s="11">
      <c r="A3" s="15" t="inlineStr">
        <is>
          <t>age</t>
        </is>
      </c>
      <c r="B3" s="15" t="inlineStr">
        <is>
          <t>Age</t>
        </is>
      </c>
      <c r="C3" s="15" t="inlineStr">
        <is>
          <t>years</t>
        </is>
      </c>
      <c r="D3" s="15" t="inlineStr">
        <is>
          <t>number</t>
        </is>
      </c>
      <c r="E3" s="15" t="inlineStr">
        <is>
          <t>18–89 (adults only; under 18 refused)</t>
        </is>
      </c>
      <c r="F3" s="15" t="inlineStr">
        <is>
          <t>Yes</t>
        </is>
      </c>
      <c r="G3" s="15" t="inlineStr">
        <is>
          <t>Demographics</t>
        </is>
      </c>
      <c r="H3" s="15" t="inlineStr">
        <is>
          <t>Y</t>
        </is>
      </c>
      <c r="I3" s="15" t="inlineStr">
        <is>
          <t>Y</t>
        </is>
      </c>
      <c r="J3" s="15" t="inlineStr">
        <is>
          <t>Y</t>
        </is>
      </c>
      <c r="K3" s="15" t="inlineStr">
        <is>
          <t>Y</t>
        </is>
      </c>
      <c r="L3" s="15" t="inlineStr">
        <is>
          <t>Y</t>
        </is>
      </c>
      <c r="M3" s="15" t="inlineStr">
        <is>
          <t>age</t>
        </is>
      </c>
      <c r="N3" s="15" t="inlineStr">
        <is>
          <t>OMOP person (birth date, gender, race, ethnicity; Hispanic ethnicity → hispanic)</t>
        </is>
      </c>
    </row>
    <row r="4" ht="23.85" customHeight="1" s="11">
      <c r="A4" s="15" t="inlineStr">
        <is>
          <t>sex</t>
        </is>
      </c>
      <c r="B4" s="15" t="inlineStr">
        <is>
          <t>Sex</t>
        </is>
      </c>
      <c r="C4" s="15" t="n"/>
      <c r="D4" s="15" t="inlineStr">
        <is>
          <t>select</t>
        </is>
      </c>
      <c r="E4" s="15" t="inlineStr">
        <is>
          <t>male, female</t>
        </is>
      </c>
      <c r="F4" s="15" t="inlineStr">
        <is>
          <t>Yes</t>
        </is>
      </c>
      <c r="G4" s="15" t="inlineStr">
        <is>
          <t>Demographics</t>
        </is>
      </c>
      <c r="H4" s="15" t="inlineStr">
        <is>
          <t>Y</t>
        </is>
      </c>
      <c r="I4" s="15" t="inlineStr">
        <is>
          <t>Y</t>
        </is>
      </c>
      <c r="J4" s="15" t="inlineStr">
        <is>
          <t>Y</t>
        </is>
      </c>
      <c r="K4" s="15" t="inlineStr">
        <is>
          <t>Y</t>
        </is>
      </c>
      <c r="L4" s="15" t="inlineStr">
        <is>
          <t>Y</t>
        </is>
      </c>
      <c r="M4" s="15" t="inlineStr">
        <is>
          <t>sex_male</t>
        </is>
      </c>
      <c r="N4" s="15" t="inlineStr">
        <is>
          <t>OMOP person (birth date, gender, race, ethnicity; Hispanic ethnicity → hispanic)</t>
        </is>
      </c>
    </row>
    <row r="5" ht="23.85" customHeight="1" s="11">
      <c r="A5" s="15" t="inlineStr">
        <is>
          <t>race</t>
        </is>
      </c>
      <c r="B5" s="15" t="inlineStr">
        <is>
          <t>Race/Ethnicity</t>
        </is>
      </c>
      <c r="C5" s="15" t="n"/>
      <c r="D5" s="15" t="inlineStr">
        <is>
          <t>select</t>
        </is>
      </c>
      <c r="E5" s="15" t="inlineStr">
        <is>
          <t>white, black, hispanic, asian, other</t>
        </is>
      </c>
      <c r="F5" s="15" t="inlineStr">
        <is>
          <t>Yes</t>
        </is>
      </c>
      <c r="G5" s="15" t="inlineStr">
        <is>
          <t>Demographics</t>
        </is>
      </c>
      <c r="H5" s="15" t="inlineStr">
        <is>
          <t>Y</t>
        </is>
      </c>
      <c r="I5" s="15" t="inlineStr">
        <is>
          <t>Y</t>
        </is>
      </c>
      <c r="J5" s="15" t="inlineStr">
        <is>
          <t>Y</t>
        </is>
      </c>
      <c r="K5" s="15" t="inlineStr">
        <is>
          <t>Y</t>
        </is>
      </c>
      <c r="L5" s="15" t="inlineStr">
        <is>
          <t>Y</t>
        </is>
      </c>
      <c r="M5" s="15" t="inlineStr">
        <is>
          <t>race_black, race_hispanic, race_asian, race_other</t>
        </is>
      </c>
      <c r="N5" s="15" t="inlineStr">
        <is>
          <t>OMOP person (birth date, gender, race, ethnicity; Hispanic ethnicity → hispanic)</t>
        </is>
      </c>
    </row>
    <row r="6" ht="23.85" customHeight="1" s="11">
      <c r="A6" s="15" t="inlineStr">
        <is>
          <t>height_cm</t>
        </is>
      </c>
      <c r="B6" s="15" t="inlineStr">
        <is>
          <t>Height</t>
        </is>
      </c>
      <c r="C6" s="15" t="inlineStr">
        <is>
          <t>cm</t>
        </is>
      </c>
      <c r="D6" s="15" t="inlineStr">
        <is>
          <t>number</t>
        </is>
      </c>
      <c r="E6" s="15" t="inlineStr">
        <is>
          <t>120–220</t>
        </is>
      </c>
      <c r="F6" s="15" t="inlineStr">
        <is>
          <t>No</t>
        </is>
      </c>
      <c r="G6" s="15" t="inlineStr">
        <is>
          <t>Demographics</t>
        </is>
      </c>
      <c r="H6" s="15" t="inlineStr">
        <is>
          <t>Y</t>
        </is>
      </c>
      <c r="I6" s="15" t="inlineStr">
        <is>
          <t>Y</t>
        </is>
      </c>
      <c r="J6" s="15" t="inlineStr">
        <is>
          <t>Y</t>
        </is>
      </c>
      <c r="K6" s="15" t="inlineStr">
        <is>
          <t>Y</t>
        </is>
      </c>
      <c r="L6" s="15" t="inlineStr">
        <is>
          <t>Y</t>
        </is>
      </c>
      <c r="M6" s="15" t="inlineStr">
        <is>
          <t>height_cm, bmi</t>
        </is>
      </c>
      <c r="N6" s="15" t="inlineStr">
        <is>
          <t>OMOP measurement, LOINC 8302-2, 3137-7; latest value ≤730 d before index</t>
        </is>
      </c>
    </row>
    <row r="7" ht="23.85" customHeight="1" s="11">
      <c r="A7" s="15" t="inlineStr">
        <is>
          <t>weight_kg</t>
        </is>
      </c>
      <c r="B7" s="15" t="inlineStr">
        <is>
          <t>Weight</t>
        </is>
      </c>
      <c r="C7" s="15" t="inlineStr">
        <is>
          <t>kg</t>
        </is>
      </c>
      <c r="D7" s="15" t="inlineStr">
        <is>
          <t>number</t>
        </is>
      </c>
      <c r="E7" s="15" t="inlineStr">
        <is>
          <t>30–300</t>
        </is>
      </c>
      <c r="F7" s="15" t="inlineStr">
        <is>
          <t>No</t>
        </is>
      </c>
      <c r="G7" s="15" t="inlineStr">
        <is>
          <t>Demographics</t>
        </is>
      </c>
      <c r="H7" s="15" t="inlineStr">
        <is>
          <t>Y</t>
        </is>
      </c>
      <c r="I7" s="15" t="inlineStr">
        <is>
          <t>Y</t>
        </is>
      </c>
      <c r="J7" s="15" t="inlineStr">
        <is>
          <t>Y</t>
        </is>
      </c>
      <c r="K7" s="15" t="inlineStr">
        <is>
          <t>Y</t>
        </is>
      </c>
      <c r="L7" s="15" t="inlineStr">
        <is>
          <t>Y</t>
        </is>
      </c>
      <c r="M7" s="15" t="inlineStr">
        <is>
          <t>weight_kg, bmi</t>
        </is>
      </c>
      <c r="N7" s="15" t="inlineStr">
        <is>
          <t>OMOP measurement, LOINC 29463-7, 3141-9; latest value ≤730 d before index</t>
        </is>
      </c>
    </row>
    <row r="8" ht="23.85" customHeight="1" s="11">
      <c r="A8" s="15" t="inlineStr">
        <is>
          <t>prior_mi</t>
        </is>
      </c>
      <c r="B8" s="15" t="inlineStr">
        <is>
          <t>Prior MI</t>
        </is>
      </c>
      <c r="C8" s="15" t="n"/>
      <c r="D8" s="15" t="inlineStr">
        <is>
          <t>bool</t>
        </is>
      </c>
      <c r="E8" s="15" t="inlineStr">
        <is>
          <t>yes / no</t>
        </is>
      </c>
      <c r="F8" s="15" t="inlineStr">
        <is>
          <t>No</t>
        </is>
      </c>
      <c r="G8" s="15" t="inlineStr">
        <is>
          <t>Clinical history</t>
        </is>
      </c>
      <c r="H8" s="15" t="inlineStr">
        <is>
          <t>Y</t>
        </is>
      </c>
      <c r="I8" s="15" t="inlineStr">
        <is>
          <t>Y</t>
        </is>
      </c>
      <c r="J8" s="15" t="inlineStr">
        <is>
          <t>Y</t>
        </is>
      </c>
      <c r="K8" s="15" t="inlineStr">
        <is>
          <t>Y</t>
        </is>
      </c>
      <c r="L8" s="15" t="inlineStr">
        <is>
          <t>Y</t>
        </is>
      </c>
      <c r="M8" s="15" t="inlineStr">
        <is>
          <t>prior_mi</t>
        </is>
      </c>
      <c r="N8" s="15" t="inlineStr">
        <is>
          <t>OMOP condition_occurrence / observation on or before index: ICD-10 I21, I22, I25.2; ICD-9 410, 412</t>
        </is>
      </c>
    </row>
    <row r="9" ht="23.85" customHeight="1" s="11">
      <c r="A9" s="15" t="inlineStr">
        <is>
          <t>prior_stroke</t>
        </is>
      </c>
      <c r="B9" s="15" t="inlineStr">
        <is>
          <t>Prior Stroke/TIA</t>
        </is>
      </c>
      <c r="C9" s="15" t="n"/>
      <c r="D9" s="15" t="inlineStr">
        <is>
          <t>bool</t>
        </is>
      </c>
      <c r="E9" s="15" t="inlineStr">
        <is>
          <t>yes / no</t>
        </is>
      </c>
      <c r="F9" s="15" t="inlineStr">
        <is>
          <t>No</t>
        </is>
      </c>
      <c r="G9" s="15" t="inlineStr">
        <is>
          <t>Clinical history</t>
        </is>
      </c>
      <c r="H9" s="15" t="inlineStr">
        <is>
          <t>Y</t>
        </is>
      </c>
      <c r="I9" s="15" t="inlineStr">
        <is>
          <t>Y</t>
        </is>
      </c>
      <c r="J9" s="15" t="inlineStr">
        <is>
          <t>Y</t>
        </is>
      </c>
      <c r="K9" s="15" t="inlineStr">
        <is>
          <t>Y</t>
        </is>
      </c>
      <c r="L9" s="15" t="inlineStr">
        <is>
          <t>Y</t>
        </is>
      </c>
      <c r="M9" s="15" t="inlineStr">
        <is>
          <t>prior_stroke</t>
        </is>
      </c>
      <c r="N9" s="15" t="inlineStr">
        <is>
          <t>OMOP condition_occurrence / observation on or before index: ICD-10 I60–I63, G45, Z86.73; ICD-9 430–436, V12.54</t>
        </is>
      </c>
    </row>
    <row r="10" ht="23.85" customHeight="1" s="11">
      <c r="A10" s="15" t="inlineStr">
        <is>
          <t>angina</t>
        </is>
      </c>
      <c r="B10" s="15" t="inlineStr">
        <is>
          <t>Angina</t>
        </is>
      </c>
      <c r="C10" s="15" t="n"/>
      <c r="D10" s="15" t="inlineStr">
        <is>
          <t>bool</t>
        </is>
      </c>
      <c r="E10" s="15" t="inlineStr">
        <is>
          <t>yes / no</t>
        </is>
      </c>
      <c r="F10" s="15" t="inlineStr">
        <is>
          <t>No</t>
        </is>
      </c>
      <c r="G10" s="15" t="inlineStr">
        <is>
          <t>Clinical history</t>
        </is>
      </c>
      <c r="H10" s="15" t="inlineStr">
        <is>
          <t>Y</t>
        </is>
      </c>
      <c r="I10" s="15" t="inlineStr">
        <is>
          <t>Y</t>
        </is>
      </c>
      <c r="J10" s="15" t="inlineStr">
        <is>
          <t>Y</t>
        </is>
      </c>
      <c r="K10" s="15" t="inlineStr">
        <is>
          <t>Y</t>
        </is>
      </c>
      <c r="L10" s="15" t="inlineStr">
        <is>
          <t>Y</t>
        </is>
      </c>
      <c r="M10" s="15" t="inlineStr">
        <is>
          <t>angina</t>
        </is>
      </c>
      <c r="N10" s="15" t="inlineStr">
        <is>
          <t>OMOP condition_occurrence / observation on or before index: ICD-10 I20; ICD-9 413</t>
        </is>
      </c>
    </row>
    <row r="11" ht="23.85" customHeight="1" s="11">
      <c r="A11" s="15" t="inlineStr">
        <is>
          <t>heart_failure</t>
        </is>
      </c>
      <c r="B11" s="15" t="inlineStr">
        <is>
          <t>Heart Failure</t>
        </is>
      </c>
      <c r="C11" s="15" t="n"/>
      <c r="D11" s="15" t="inlineStr">
        <is>
          <t>bool</t>
        </is>
      </c>
      <c r="E11" s="15" t="inlineStr">
        <is>
          <t>yes / no</t>
        </is>
      </c>
      <c r="F11" s="15" t="inlineStr">
        <is>
          <t>No</t>
        </is>
      </c>
      <c r="G11" s="15" t="inlineStr">
        <is>
          <t>Clinical history</t>
        </is>
      </c>
      <c r="H11" s="15" t="inlineStr">
        <is>
          <t>Y</t>
        </is>
      </c>
      <c r="I11" s="15" t="inlineStr">
        <is>
          <t>Y</t>
        </is>
      </c>
      <c r="J11" s="15" t="inlineStr">
        <is>
          <t>Y</t>
        </is>
      </c>
      <c r="K11" s="15" t="inlineStr">
        <is>
          <t>Y</t>
        </is>
      </c>
      <c r="L11" s="15" t="inlineStr">
        <is>
          <t>Y</t>
        </is>
      </c>
      <c r="M11" s="15" t="inlineStr">
        <is>
          <t>heart_failure</t>
        </is>
      </c>
      <c r="N11" s="15" t="inlineStr">
        <is>
          <t>OMOP condition_occurrence / observation on or before index: ICD-10 I50, I11.0, I13.0, I13.2; ICD-9 428</t>
        </is>
      </c>
    </row>
    <row r="12" ht="23.85" customHeight="1" s="11">
      <c r="A12" s="15" t="inlineStr">
        <is>
          <t>afib</t>
        </is>
      </c>
      <c r="B12" s="15" t="inlineStr">
        <is>
          <t>Atrial Fibrillation</t>
        </is>
      </c>
      <c r="C12" s="15" t="n"/>
      <c r="D12" s="15" t="inlineStr">
        <is>
          <t>bool</t>
        </is>
      </c>
      <c r="E12" s="15" t="inlineStr">
        <is>
          <t>yes / no</t>
        </is>
      </c>
      <c r="F12" s="15" t="inlineStr">
        <is>
          <t>No</t>
        </is>
      </c>
      <c r="G12" s="15" t="inlineStr">
        <is>
          <t>Clinical history</t>
        </is>
      </c>
      <c r="H12" s="15" t="inlineStr">
        <is>
          <t>Y</t>
        </is>
      </c>
      <c r="I12" s="15" t="inlineStr">
        <is>
          <t>Y</t>
        </is>
      </c>
      <c r="J12" s="15" t="inlineStr">
        <is>
          <t>Y</t>
        </is>
      </c>
      <c r="K12" s="15" t="inlineStr">
        <is>
          <t>Y</t>
        </is>
      </c>
      <c r="L12" s="15" t="inlineStr">
        <is>
          <t>Y</t>
        </is>
      </c>
      <c r="M12" s="15" t="inlineStr">
        <is>
          <t>afib</t>
        </is>
      </c>
      <c r="N12" s="15" t="inlineStr">
        <is>
          <t>OMOP condition_occurrence / observation on or before index: ICD-10 I48; ICD-9 427.3</t>
        </is>
      </c>
    </row>
    <row r="13" ht="23.85" customHeight="1" s="11">
      <c r="A13" s="15" t="inlineStr">
        <is>
          <t>family_hx_cad</t>
        </is>
      </c>
      <c r="B13" s="15" t="inlineStr">
        <is>
          <t>Family History CAD</t>
        </is>
      </c>
      <c r="C13" s="15" t="n"/>
      <c r="D13" s="15" t="inlineStr">
        <is>
          <t>bool</t>
        </is>
      </c>
      <c r="E13" s="15" t="inlineStr">
        <is>
          <t>yes / no</t>
        </is>
      </c>
      <c r="F13" s="15" t="inlineStr">
        <is>
          <t>No</t>
        </is>
      </c>
      <c r="G13" s="15" t="inlineStr">
        <is>
          <t>Clinical history</t>
        </is>
      </c>
      <c r="H13" s="15" t="inlineStr">
        <is>
          <t>Y</t>
        </is>
      </c>
      <c r="I13" s="15" t="inlineStr">
        <is>
          <t>Y</t>
        </is>
      </c>
      <c r="J13" s="15" t="inlineStr">
        <is>
          <t>Y</t>
        </is>
      </c>
      <c r="K13" s="15" t="inlineStr">
        <is>
          <t>Y</t>
        </is>
      </c>
      <c r="L13" s="15" t="inlineStr">
        <is>
          <t>Y</t>
        </is>
      </c>
      <c r="M13" s="15" t="inlineStr">
        <is>
          <t>family_hx_cad</t>
        </is>
      </c>
      <c r="N13" s="15" t="inlineStr">
        <is>
          <t>OMOP condition_occurrence / observation on or before index: ICD-10 Z82.49; ICD-9 V17.3</t>
        </is>
      </c>
    </row>
    <row r="14" ht="23.85" customHeight="1" s="11">
      <c r="A14" s="15" t="inlineStr">
        <is>
          <t>hypertension</t>
        </is>
      </c>
      <c r="B14" s="15" t="inlineStr">
        <is>
          <t>Hypertension diagnosis</t>
        </is>
      </c>
      <c r="C14" s="15" t="n"/>
      <c r="D14" s="15" t="inlineStr">
        <is>
          <t>bool</t>
        </is>
      </c>
      <c r="E14" s="15" t="inlineStr">
        <is>
          <t>yes / no</t>
        </is>
      </c>
      <c r="F14" s="15" t="inlineStr">
        <is>
          <t>No</t>
        </is>
      </c>
      <c r="G14" s="15" t="inlineStr">
        <is>
          <t>Clinical history</t>
        </is>
      </c>
      <c r="H14" s="15" t="inlineStr">
        <is>
          <t>Y</t>
        </is>
      </c>
      <c r="I14" s="15" t="inlineStr">
        <is>
          <t>Y</t>
        </is>
      </c>
      <c r="J14" s="15" t="inlineStr">
        <is>
          <t>Y</t>
        </is>
      </c>
      <c r="K14" s="15" t="inlineStr">
        <is>
          <t>Y</t>
        </is>
      </c>
      <c r="L14" s="15" t="inlineStr">
        <is>
          <t>Y</t>
        </is>
      </c>
      <c r="M14" s="15" t="inlineStr">
        <is>
          <t>hypertension</t>
        </is>
      </c>
      <c r="N14" s="15" t="inlineStr">
        <is>
          <t>OMOP condition_occurrence / observation on or before index: ICD-10 I10–I16; ICD-9 401–405</t>
        </is>
      </c>
    </row>
    <row r="15" ht="23.85" customHeight="1" s="11">
      <c r="A15" s="15" t="inlineStr">
        <is>
          <t>pad</t>
        </is>
      </c>
      <c r="B15" s="15" t="inlineStr">
        <is>
          <t>Peripheral artery disease</t>
        </is>
      </c>
      <c r="C15" s="15" t="n"/>
      <c r="D15" s="15" t="inlineStr">
        <is>
          <t>bool</t>
        </is>
      </c>
      <c r="E15" s="15" t="inlineStr">
        <is>
          <t>yes / no</t>
        </is>
      </c>
      <c r="F15" s="15" t="inlineStr">
        <is>
          <t>No</t>
        </is>
      </c>
      <c r="G15" s="15" t="inlineStr">
        <is>
          <t>Clinical history</t>
        </is>
      </c>
      <c r="H15" s="15" t="inlineStr">
        <is>
          <t>Y</t>
        </is>
      </c>
      <c r="I15" s="15" t="inlineStr">
        <is>
          <t>Y</t>
        </is>
      </c>
      <c r="J15" s="15" t="inlineStr">
        <is>
          <t>Y</t>
        </is>
      </c>
      <c r="K15" s="15" t="inlineStr">
        <is>
          <t>Y</t>
        </is>
      </c>
      <c r="L15" s="15" t="inlineStr">
        <is>
          <t>Y</t>
        </is>
      </c>
      <c r="M15" s="15" t="inlineStr">
        <is>
          <t>pad</t>
        </is>
      </c>
      <c r="N15" s="15" t="inlineStr">
        <is>
          <t>OMOP condition_occurrence / observation on or before index: ICD-10 I70.2, I73.9; ICD-9 440.2, 443.9</t>
        </is>
      </c>
    </row>
    <row r="16" ht="23.85" customHeight="1" s="11">
      <c r="A16" s="15" t="inlineStr">
        <is>
          <t>sbp</t>
        </is>
      </c>
      <c r="B16" s="15" t="inlineStr">
        <is>
          <t>Systolic BP</t>
        </is>
      </c>
      <c r="C16" s="15" t="inlineStr">
        <is>
          <t>mmHg</t>
        </is>
      </c>
      <c r="D16" s="15" t="inlineStr">
        <is>
          <t>number</t>
        </is>
      </c>
      <c r="E16" s="15" t="inlineStr">
        <is>
          <t>70–250</t>
        </is>
      </c>
      <c r="F16" s="15" t="inlineStr">
        <is>
          <t>Yes</t>
        </is>
      </c>
      <c r="G16" s="15" t="inlineStr">
        <is>
          <t>Risk factors</t>
        </is>
      </c>
      <c r="H16" s="15" t="inlineStr">
        <is>
          <t>Y</t>
        </is>
      </c>
      <c r="I16" s="15" t="inlineStr">
        <is>
          <t>Y</t>
        </is>
      </c>
      <c r="J16" s="15" t="inlineStr">
        <is>
          <t>Y</t>
        </is>
      </c>
      <c r="K16" s="15" t="inlineStr">
        <is>
          <t>Y</t>
        </is>
      </c>
      <c r="L16" s="15" t="inlineStr">
        <is>
          <t>Y</t>
        </is>
      </c>
      <c r="M16" s="15" t="inlineStr">
        <is>
          <t>sbp</t>
        </is>
      </c>
      <c r="N16" s="15" t="inlineStr">
        <is>
          <t>OMOP measurement, LOINC 8480-6, 8459-0; latest value ≤730 d before index</t>
        </is>
      </c>
    </row>
    <row r="17" ht="23.85" customHeight="1" s="11">
      <c r="A17" s="15" t="inlineStr">
        <is>
          <t>dbp</t>
        </is>
      </c>
      <c r="B17" s="15" t="inlineStr">
        <is>
          <t>Diastolic BP</t>
        </is>
      </c>
      <c r="C17" s="15" t="inlineStr">
        <is>
          <t>mmHg</t>
        </is>
      </c>
      <c r="D17" s="15" t="inlineStr">
        <is>
          <t>number</t>
        </is>
      </c>
      <c r="E17" s="15" t="inlineStr">
        <is>
          <t>40–150</t>
        </is>
      </c>
      <c r="F17" s="15" t="inlineStr">
        <is>
          <t>No</t>
        </is>
      </c>
      <c r="G17" s="15" t="inlineStr">
        <is>
          <t>Risk factors</t>
        </is>
      </c>
      <c r="H17" s="15" t="inlineStr">
        <is>
          <t>Y</t>
        </is>
      </c>
      <c r="I17" s="15" t="inlineStr">
        <is>
          <t>Y</t>
        </is>
      </c>
      <c r="J17" s="15" t="inlineStr">
        <is>
          <t>Y</t>
        </is>
      </c>
      <c r="K17" s="15" t="inlineStr">
        <is>
          <t>Y</t>
        </is>
      </c>
      <c r="L17" s="15" t="inlineStr">
        <is>
          <t>Y</t>
        </is>
      </c>
      <c r="M17" s="15" t="inlineStr">
        <is>
          <t>dbp</t>
        </is>
      </c>
      <c r="N17" s="15" t="inlineStr">
        <is>
          <t>OMOP measurement, LOINC 8462-4, 8453-3; latest value ≤730 d before index</t>
        </is>
      </c>
    </row>
    <row r="18" ht="23.85" customHeight="1" s="11">
      <c r="A18" s="15" t="inlineStr">
        <is>
          <t>smoking</t>
        </is>
      </c>
      <c r="B18" s="15" t="inlineStr">
        <is>
          <t>Smoking Status</t>
        </is>
      </c>
      <c r="C18" s="15" t="n"/>
      <c r="D18" s="15" t="inlineStr">
        <is>
          <t>select</t>
        </is>
      </c>
      <c r="E18" s="15" t="inlineStr">
        <is>
          <t>never, former, current</t>
        </is>
      </c>
      <c r="F18" s="15" t="inlineStr">
        <is>
          <t>No</t>
        </is>
      </c>
      <c r="G18" s="15" t="inlineStr">
        <is>
          <t>Risk factors</t>
        </is>
      </c>
      <c r="H18" s="15" t="inlineStr">
        <is>
          <t>Y</t>
        </is>
      </c>
      <c r="I18" s="15" t="inlineStr">
        <is>
          <t>Y</t>
        </is>
      </c>
      <c r="J18" s="15" t="inlineStr">
        <is>
          <t>Y</t>
        </is>
      </c>
      <c r="K18" s="15" t="inlineStr">
        <is>
          <t>Y</t>
        </is>
      </c>
      <c r="L18" s="15" t="inlineStr">
        <is>
          <t>Y</t>
        </is>
      </c>
      <c r="M18" s="15" t="inlineStr">
        <is>
          <t>smoking_former, smoking_current</t>
        </is>
      </c>
      <c r="N18" s="15" t="inlineStr">
        <is>
          <t>Diagnosis codes: current = F17.2/Z72.0 within 730 d; former = Z87.891 / older current codes</t>
        </is>
      </c>
    </row>
    <row r="19" ht="23.85" customHeight="1" s="11">
      <c r="A19" s="15" t="inlineStr">
        <is>
          <t>diabetes</t>
        </is>
      </c>
      <c r="B19" s="15" t="inlineStr">
        <is>
          <t>Diabetes Status</t>
        </is>
      </c>
      <c r="C19" s="15" t="n"/>
      <c r="D19" s="15" t="inlineStr">
        <is>
          <t>select</t>
        </is>
      </c>
      <c r="E19" s="15" t="inlineStr">
        <is>
          <t>none, prediabetes, type1, type2</t>
        </is>
      </c>
      <c r="F19" s="15" t="inlineStr">
        <is>
          <t>No</t>
        </is>
      </c>
      <c r="G19" s="15" t="inlineStr">
        <is>
          <t>Risk factors</t>
        </is>
      </c>
      <c r="H19" s="15" t="inlineStr">
        <is>
          <t>Y</t>
        </is>
      </c>
      <c r="I19" s="15" t="inlineStr">
        <is>
          <t>Y</t>
        </is>
      </c>
      <c r="J19" s="15" t="inlineStr">
        <is>
          <t>Y</t>
        </is>
      </c>
      <c r="K19" s="15" t="inlineStr">
        <is>
          <t>Y</t>
        </is>
      </c>
      <c r="L19" s="15" t="inlineStr">
        <is>
          <t>Y</t>
        </is>
      </c>
      <c r="M19" s="15" t="inlineStr">
        <is>
          <t>diabetes_pre, diabetes_t1, diabetes_t2</t>
        </is>
      </c>
      <c r="N19" s="15" t="inlineStr">
        <is>
          <t>E11 → type 2, E10 → type 1, R73.0 or HbA1c 5.7–6.4% → prediabetes; HbA1c ≥6.5% → type 2</t>
        </is>
      </c>
    </row>
    <row r="20" ht="15" customHeight="1" s="11">
      <c r="A20" s="15" t="inlineStr">
        <is>
          <t>total_chol</t>
        </is>
      </c>
      <c r="B20" s="15" t="inlineStr">
        <is>
          <t>Total Cholesterol</t>
        </is>
      </c>
      <c r="C20" s="15" t="inlineStr">
        <is>
          <t>mg/dL</t>
        </is>
      </c>
      <c r="D20" s="15" t="inlineStr">
        <is>
          <t>number</t>
        </is>
      </c>
      <c r="E20" s="15" t="inlineStr">
        <is>
          <t>80–400</t>
        </is>
      </c>
      <c r="F20" s="15" t="inlineStr">
        <is>
          <t>No</t>
        </is>
      </c>
      <c r="G20" s="15" t="inlineStr">
        <is>
          <t>Laboratory</t>
        </is>
      </c>
      <c r="H20" s="15" t="inlineStr">
        <is>
          <t>Y</t>
        </is>
      </c>
      <c r="I20" s="15" t="inlineStr">
        <is>
          <t>Y</t>
        </is>
      </c>
      <c r="J20" s="15" t="inlineStr">
        <is>
          <t>Y</t>
        </is>
      </c>
      <c r="K20" s="15" t="inlineStr">
        <is>
          <t>Y</t>
        </is>
      </c>
      <c r="L20" s="15" t="inlineStr">
        <is>
          <t>Y</t>
        </is>
      </c>
      <c r="M20" s="15" t="inlineStr">
        <is>
          <t>total_chol, non_hdl</t>
        </is>
      </c>
      <c r="N20" s="15" t="inlineStr">
        <is>
          <t>OMOP measurement, LOINC 2093-3; latest value ≤730 d before index</t>
        </is>
      </c>
    </row>
    <row r="21" ht="15" customHeight="1" s="11">
      <c r="A21" s="15" t="inlineStr">
        <is>
          <t>hdl</t>
        </is>
      </c>
      <c r="B21" s="15" t="inlineStr">
        <is>
          <t>HDL Cholesterol</t>
        </is>
      </c>
      <c r="C21" s="15" t="inlineStr">
        <is>
          <t>mg/dL</t>
        </is>
      </c>
      <c r="D21" s="15" t="inlineStr">
        <is>
          <t>number</t>
        </is>
      </c>
      <c r="E21" s="15" t="inlineStr">
        <is>
          <t>15–120</t>
        </is>
      </c>
      <c r="F21" s="15" t="inlineStr">
        <is>
          <t>No</t>
        </is>
      </c>
      <c r="G21" s="15" t="inlineStr">
        <is>
          <t>Laboratory</t>
        </is>
      </c>
      <c r="H21" s="15" t="inlineStr">
        <is>
          <t>Y</t>
        </is>
      </c>
      <c r="I21" s="15" t="inlineStr">
        <is>
          <t>Y</t>
        </is>
      </c>
      <c r="J21" s="15" t="inlineStr">
        <is>
          <t>Y</t>
        </is>
      </c>
      <c r="K21" s="15" t="inlineStr">
        <is>
          <t>Y</t>
        </is>
      </c>
      <c r="L21" s="15" t="inlineStr">
        <is>
          <t>Y</t>
        </is>
      </c>
      <c r="M21" s="15" t="inlineStr">
        <is>
          <t>hdl, non_hdl</t>
        </is>
      </c>
      <c r="N21" s="15" t="inlineStr">
        <is>
          <t>OMOP measurement, LOINC 2085-8; latest value ≤730 d before index</t>
        </is>
      </c>
    </row>
    <row r="22" ht="23.85" customHeight="1" s="11">
      <c r="A22" s="15" t="inlineStr">
        <is>
          <t>ldl</t>
        </is>
      </c>
      <c r="B22" s="15" t="inlineStr">
        <is>
          <t>LDL Cholesterol</t>
        </is>
      </c>
      <c r="C22" s="15" t="inlineStr">
        <is>
          <t>mg/dL</t>
        </is>
      </c>
      <c r="D22" s="15" t="inlineStr">
        <is>
          <t>number</t>
        </is>
      </c>
      <c r="E22" s="15" t="inlineStr">
        <is>
          <t>20–300</t>
        </is>
      </c>
      <c r="F22" s="15" t="inlineStr">
        <is>
          <t>No</t>
        </is>
      </c>
      <c r="G22" s="15" t="inlineStr">
        <is>
          <t>Laboratory</t>
        </is>
      </c>
      <c r="H22" s="15" t="inlineStr">
        <is>
          <t>Y</t>
        </is>
      </c>
      <c r="I22" s="15" t="inlineStr">
        <is>
          <t>Y</t>
        </is>
      </c>
      <c r="J22" s="15" t="inlineStr">
        <is>
          <t>Y</t>
        </is>
      </c>
      <c r="K22" s="15" t="inlineStr">
        <is>
          <t>Y</t>
        </is>
      </c>
      <c r="L22" s="15" t="inlineStr">
        <is>
          <t>Y</t>
        </is>
      </c>
      <c r="M22" s="15" t="inlineStr">
        <is>
          <t>ldl</t>
        </is>
      </c>
      <c r="N22" s="15" t="inlineStr">
        <is>
          <t>OMOP measurement, LOINC 13457-7, 18262-6, 2089-1; latest value ≤730 d before index</t>
        </is>
      </c>
    </row>
    <row r="23" ht="15" customHeight="1" s="11">
      <c r="A23" s="15" t="inlineStr">
        <is>
          <t>trig</t>
        </is>
      </c>
      <c r="B23" s="15" t="inlineStr">
        <is>
          <t>Triglycerides</t>
        </is>
      </c>
      <c r="C23" s="15" t="inlineStr">
        <is>
          <t>mg/dL</t>
        </is>
      </c>
      <c r="D23" s="15" t="inlineStr">
        <is>
          <t>number</t>
        </is>
      </c>
      <c r="E23" s="15" t="inlineStr">
        <is>
          <t>20–1500</t>
        </is>
      </c>
      <c r="F23" s="15" t="inlineStr">
        <is>
          <t>No</t>
        </is>
      </c>
      <c r="G23" s="15" t="inlineStr">
        <is>
          <t>Laboratory</t>
        </is>
      </c>
      <c r="H23" s="15" t="inlineStr">
        <is>
          <t>Y</t>
        </is>
      </c>
      <c r="I23" s="15" t="inlineStr">
        <is>
          <t>Y</t>
        </is>
      </c>
      <c r="J23" s="15" t="inlineStr">
        <is>
          <t>Y</t>
        </is>
      </c>
      <c r="K23" s="15" t="inlineStr">
        <is>
          <t>Y</t>
        </is>
      </c>
      <c r="L23" s="15" t="inlineStr">
        <is>
          <t>Y</t>
        </is>
      </c>
      <c r="M23" s="15" t="inlineStr">
        <is>
          <t>trig</t>
        </is>
      </c>
      <c r="N23" s="15" t="inlineStr">
        <is>
          <t>OMOP measurement, LOINC 2571-8; latest value ≤730 d before index</t>
        </is>
      </c>
    </row>
    <row r="24" ht="23.85" customHeight="1" s="11">
      <c r="A24" s="15" t="inlineStr">
        <is>
          <t>glucose</t>
        </is>
      </c>
      <c r="B24" s="15" t="inlineStr">
        <is>
          <t>Fasting Glucose</t>
        </is>
      </c>
      <c r="C24" s="15" t="inlineStr">
        <is>
          <t>mg/dL</t>
        </is>
      </c>
      <c r="D24" s="15" t="inlineStr">
        <is>
          <t>number</t>
        </is>
      </c>
      <c r="E24" s="15" t="inlineStr">
        <is>
          <t>40–500</t>
        </is>
      </c>
      <c r="F24" s="15" t="inlineStr">
        <is>
          <t>No</t>
        </is>
      </c>
      <c r="G24" s="15" t="inlineStr">
        <is>
          <t>Laboratory</t>
        </is>
      </c>
      <c r="H24" s="15" t="inlineStr">
        <is>
          <t>Y</t>
        </is>
      </c>
      <c r="I24" s="15" t="inlineStr">
        <is>
          <t>Y</t>
        </is>
      </c>
      <c r="J24" s="15" t="inlineStr">
        <is>
          <t>Y</t>
        </is>
      </c>
      <c r="K24" s="15" t="inlineStr">
        <is>
          <t>Y</t>
        </is>
      </c>
      <c r="L24" s="15" t="inlineStr">
        <is>
          <t>Y</t>
        </is>
      </c>
      <c r="M24" s="15" t="inlineStr">
        <is>
          <t>glucose</t>
        </is>
      </c>
      <c r="N24" s="15" t="inlineStr">
        <is>
          <t>OMOP measurement, LOINC 1558-6, 2345-7; latest value ≤730 d before index</t>
        </is>
      </c>
    </row>
    <row r="25" ht="23.85" customHeight="1" s="11">
      <c r="A25" s="15" t="inlineStr">
        <is>
          <t>hba1c</t>
        </is>
      </c>
      <c r="B25" s="15" t="inlineStr">
        <is>
          <t>HbA1c</t>
        </is>
      </c>
      <c r="C25" s="15" t="inlineStr">
        <is>
          <t>%</t>
        </is>
      </c>
      <c r="D25" s="15" t="inlineStr">
        <is>
          <t>number</t>
        </is>
      </c>
      <c r="E25" s="15" t="inlineStr">
        <is>
          <t>3–18</t>
        </is>
      </c>
      <c r="F25" s="15" t="inlineStr">
        <is>
          <t>No</t>
        </is>
      </c>
      <c r="G25" s="15" t="inlineStr">
        <is>
          <t>Laboratory</t>
        </is>
      </c>
      <c r="H25" s="15" t="inlineStr">
        <is>
          <t>Y</t>
        </is>
      </c>
      <c r="I25" s="15" t="inlineStr">
        <is>
          <t>Y</t>
        </is>
      </c>
      <c r="J25" s="15" t="inlineStr">
        <is>
          <t>Y</t>
        </is>
      </c>
      <c r="K25" s="15" t="inlineStr">
        <is>
          <t>Y</t>
        </is>
      </c>
      <c r="L25" s="15" t="inlineStr">
        <is>
          <t>Y</t>
        </is>
      </c>
      <c r="M25" s="15" t="inlineStr">
        <is>
          <t>hba1c</t>
        </is>
      </c>
      <c r="N25" s="15" t="inlineStr">
        <is>
          <t>OMOP measurement, LOINC 4548-4, 17856-6; latest value ≤730 d before index</t>
        </is>
      </c>
    </row>
    <row r="26" ht="23.85" customHeight="1" s="11">
      <c r="A26" s="15" t="inlineStr">
        <is>
          <t>hscrp</t>
        </is>
      </c>
      <c r="B26" s="15" t="inlineStr">
        <is>
          <t>hs-CRP</t>
        </is>
      </c>
      <c r="C26" s="15" t="inlineStr">
        <is>
          <t>mg/L</t>
        </is>
      </c>
      <c r="D26" s="15" t="inlineStr">
        <is>
          <t>number</t>
        </is>
      </c>
      <c r="E26" s="15" t="inlineStr">
        <is>
          <t>0–50</t>
        </is>
      </c>
      <c r="F26" s="15" t="inlineStr">
        <is>
          <t>No</t>
        </is>
      </c>
      <c r="G26" s="15" t="inlineStr">
        <is>
          <t>Laboratory</t>
        </is>
      </c>
      <c r="H26" s="15" t="inlineStr">
        <is>
          <t>Y</t>
        </is>
      </c>
      <c r="I26" s="15" t="inlineStr">
        <is>
          <t>Y</t>
        </is>
      </c>
      <c r="J26" s="15" t="inlineStr">
        <is>
          <t>Y</t>
        </is>
      </c>
      <c r="K26" s="15" t="inlineStr">
        <is>
          <t>Y</t>
        </is>
      </c>
      <c r="L26" s="15" t="inlineStr">
        <is>
          <t>Y</t>
        </is>
      </c>
      <c r="M26" s="15" t="inlineStr">
        <is>
          <t>hscrp</t>
        </is>
      </c>
      <c r="N26" s="15" t="inlineStr">
        <is>
          <t>OMOP measurement, LOINC 30522-7, 1988-5; latest value ≤730 d before index</t>
        </is>
      </c>
    </row>
    <row r="27" ht="23.85" customHeight="1" s="11">
      <c r="A27" s="15" t="inlineStr">
        <is>
          <t>egfr</t>
        </is>
      </c>
      <c r="B27" s="15" t="inlineStr">
        <is>
          <t>eGFR</t>
        </is>
      </c>
      <c r="C27" s="15" t="inlineStr">
        <is>
          <t>mL/min/1.73m²</t>
        </is>
      </c>
      <c r="D27" s="15" t="inlineStr">
        <is>
          <t>number</t>
        </is>
      </c>
      <c r="E27" s="15" t="inlineStr">
        <is>
          <t>5–150</t>
        </is>
      </c>
      <c r="F27" s="15" t="inlineStr">
        <is>
          <t>No</t>
        </is>
      </c>
      <c r="G27" s="15" t="inlineStr">
        <is>
          <t>Laboratory</t>
        </is>
      </c>
      <c r="H27" s="15" t="inlineStr">
        <is>
          <t>Y</t>
        </is>
      </c>
      <c r="I27" s="15" t="inlineStr">
        <is>
          <t>Y</t>
        </is>
      </c>
      <c r="J27" s="15" t="inlineStr">
        <is>
          <t>Y</t>
        </is>
      </c>
      <c r="K27" s="15" t="inlineStr">
        <is>
          <t>Y</t>
        </is>
      </c>
      <c r="L27" s="15" t="inlineStr">
        <is>
          <t>Y</t>
        </is>
      </c>
      <c r="M27" s="15" t="inlineStr">
        <is>
          <t>egfr</t>
        </is>
      </c>
      <c r="N27" s="15" t="inlineStr">
        <is>
          <t>OMOP measurement, LOINC 33914-3, 62238-1, 98979-8, 48642-3, 48643-1; latest value ≤730 d before index</t>
        </is>
      </c>
    </row>
    <row r="28" ht="23.85" customHeight="1" s="11">
      <c r="A28" s="15" t="inlineStr">
        <is>
          <t>cac_score</t>
        </is>
      </c>
      <c r="B28" s="15" t="inlineStr">
        <is>
          <t>Coronary artery calcium (Agatston)</t>
        </is>
      </c>
      <c r="C28" s="15" t="inlineStr">
        <is>
          <t>AU</t>
        </is>
      </c>
      <c r="D28" s="15" t="inlineStr">
        <is>
          <t>number</t>
        </is>
      </c>
      <c r="E28" s="15" t="inlineStr">
        <is>
          <t>0–5000</t>
        </is>
      </c>
      <c r="F28" s="15" t="inlineStr">
        <is>
          <t>No</t>
        </is>
      </c>
      <c r="G28" s="15" t="inlineStr">
        <is>
          <t>Imaging</t>
        </is>
      </c>
      <c r="H28" s="15" t="inlineStr">
        <is>
          <t>Y</t>
        </is>
      </c>
      <c r="I28" s="15" t="inlineStr">
        <is>
          <t>Y</t>
        </is>
      </c>
      <c r="J28" s="15" t="inlineStr">
        <is>
          <t>Y</t>
        </is>
      </c>
      <c r="K28" s="15" t="inlineStr">
        <is>
          <t>N</t>
        </is>
      </c>
      <c r="L28" s="15" t="inlineStr">
        <is>
          <t>N</t>
        </is>
      </c>
      <c r="M28" s="15" t="inlineStr">
        <is>
          <t>cac_score_log</t>
        </is>
      </c>
      <c r="N28" s="15" t="inlineStr">
        <is>
          <t>NLP of radiology reports (OMOP note = FACT_RADIOLOGY report) ≤730 d before index</t>
        </is>
      </c>
    </row>
    <row r="29" ht="23.85" customHeight="1" s="11">
      <c r="A29" s="15" t="inlineStr">
        <is>
          <t>lvef</t>
        </is>
      </c>
      <c r="B29" s="15" t="inlineStr">
        <is>
          <t>LV ejection fraction</t>
        </is>
      </c>
      <c r="C29" s="15" t="inlineStr">
        <is>
          <t>%</t>
        </is>
      </c>
      <c r="D29" s="15" t="inlineStr">
        <is>
          <t>number</t>
        </is>
      </c>
      <c r="E29" s="15" t="inlineStr">
        <is>
          <t>5–85</t>
        </is>
      </c>
      <c r="F29" s="15" t="inlineStr">
        <is>
          <t>No</t>
        </is>
      </c>
      <c r="G29" s="15" t="inlineStr">
        <is>
          <t>Imaging</t>
        </is>
      </c>
      <c r="H29" s="15" t="inlineStr">
        <is>
          <t>N</t>
        </is>
      </c>
      <c r="I29" s="15" t="inlineStr">
        <is>
          <t>N</t>
        </is>
      </c>
      <c r="J29" s="15" t="inlineStr">
        <is>
          <t>Y</t>
        </is>
      </c>
      <c r="K29" s="15" t="inlineStr">
        <is>
          <t>Y</t>
        </is>
      </c>
      <c r="L29" s="15" t="inlineStr">
        <is>
          <t>Y</t>
        </is>
      </c>
      <c r="M29" s="15" t="inlineStr">
        <is>
          <t>lvef</t>
        </is>
      </c>
      <c r="N29" s="15" t="inlineStr">
        <is>
          <t>NLP of echo notes (FACT_ECHO_TEST.ECHO_NOTE) and imaging reports ≤730 d before index</t>
        </is>
      </c>
    </row>
    <row r="30" ht="15" customHeight="1" s="11">
      <c r="A30" s="15" t="inlineStr">
        <is>
          <t>statin</t>
        </is>
      </c>
      <c r="B30" s="15" t="inlineStr">
        <is>
          <t>Statin</t>
        </is>
      </c>
      <c r="C30" s="15" t="n"/>
      <c r="D30" s="15" t="inlineStr">
        <is>
          <t>bool</t>
        </is>
      </c>
      <c r="E30" s="15" t="inlineStr">
        <is>
          <t>yes / no</t>
        </is>
      </c>
      <c r="F30" s="15" t="inlineStr">
        <is>
          <t>No</t>
        </is>
      </c>
      <c r="G30" s="15" t="inlineStr">
        <is>
          <t>Medications</t>
        </is>
      </c>
      <c r="H30" s="15" t="inlineStr">
        <is>
          <t>Y</t>
        </is>
      </c>
      <c r="I30" s="15" t="inlineStr">
        <is>
          <t>Y</t>
        </is>
      </c>
      <c r="J30" s="15" t="inlineStr">
        <is>
          <t>Y</t>
        </is>
      </c>
      <c r="K30" s="15" t="inlineStr">
        <is>
          <t>Y</t>
        </is>
      </c>
      <c r="L30" s="15" t="inlineStr">
        <is>
          <t>Y</t>
        </is>
      </c>
      <c r="M30" s="15" t="inlineStr">
        <is>
          <t>statin</t>
        </is>
      </c>
      <c r="N30" s="15" t="inlineStr">
        <is>
          <t>OMOP drug_exposure ≤365 d before index; ATC C10AA, C10BA, C10BX</t>
        </is>
      </c>
    </row>
    <row r="31" ht="15" customHeight="1" s="11">
      <c r="A31" s="15" t="inlineStr">
        <is>
          <t>aspirin</t>
        </is>
      </c>
      <c r="B31" s="15" t="inlineStr">
        <is>
          <t>Aspirin</t>
        </is>
      </c>
      <c r="C31" s="15" t="n"/>
      <c r="D31" s="15" t="inlineStr">
        <is>
          <t>bool</t>
        </is>
      </c>
      <c r="E31" s="15" t="inlineStr">
        <is>
          <t>yes / no</t>
        </is>
      </c>
      <c r="F31" s="15" t="inlineStr">
        <is>
          <t>No</t>
        </is>
      </c>
      <c r="G31" s="15" t="inlineStr">
        <is>
          <t>Medications</t>
        </is>
      </c>
      <c r="H31" s="15" t="inlineStr">
        <is>
          <t>Y</t>
        </is>
      </c>
      <c r="I31" s="15" t="inlineStr">
        <is>
          <t>Y</t>
        </is>
      </c>
      <c r="J31" s="15" t="inlineStr">
        <is>
          <t>Y</t>
        </is>
      </c>
      <c r="K31" s="15" t="inlineStr">
        <is>
          <t>Y</t>
        </is>
      </c>
      <c r="L31" s="15" t="inlineStr">
        <is>
          <t>Y</t>
        </is>
      </c>
      <c r="M31" s="15" t="inlineStr">
        <is>
          <t>aspirin</t>
        </is>
      </c>
      <c r="N31" s="15" t="inlineStr">
        <is>
          <t>OMOP drug_exposure ≤365 d before index; ATC B01AC06</t>
        </is>
      </c>
    </row>
    <row r="32" ht="15" customHeight="1" s="11">
      <c r="A32" s="15" t="inlineStr">
        <is>
          <t>acei_arb</t>
        </is>
      </c>
      <c r="B32" s="15" t="inlineStr">
        <is>
          <t>ACE-I/ARB</t>
        </is>
      </c>
      <c r="C32" s="15" t="n"/>
      <c r="D32" s="15" t="inlineStr">
        <is>
          <t>bool</t>
        </is>
      </c>
      <c r="E32" s="15" t="inlineStr">
        <is>
          <t>yes / no</t>
        </is>
      </c>
      <c r="F32" s="15" t="inlineStr">
        <is>
          <t>No</t>
        </is>
      </c>
      <c r="G32" s="15" t="inlineStr">
        <is>
          <t>Medications</t>
        </is>
      </c>
      <c r="H32" s="15" t="inlineStr">
        <is>
          <t>Y</t>
        </is>
      </c>
      <c r="I32" s="15" t="inlineStr">
        <is>
          <t>Y</t>
        </is>
      </c>
      <c r="J32" s="15" t="inlineStr">
        <is>
          <t>Y</t>
        </is>
      </c>
      <c r="K32" s="15" t="inlineStr">
        <is>
          <t>Y</t>
        </is>
      </c>
      <c r="L32" s="15" t="inlineStr">
        <is>
          <t>Y</t>
        </is>
      </c>
      <c r="M32" s="15" t="inlineStr">
        <is>
          <t>acei_arb</t>
        </is>
      </c>
      <c r="N32" s="15" t="inlineStr">
        <is>
          <t>OMOP drug_exposure ≤365 d before index; ATC C09</t>
        </is>
      </c>
    </row>
    <row r="33" ht="15" customHeight="1" s="11">
      <c r="A33" s="15" t="inlineStr">
        <is>
          <t>beta_blocker</t>
        </is>
      </c>
      <c r="B33" s="15" t="inlineStr">
        <is>
          <t>Beta Blocker</t>
        </is>
      </c>
      <c r="C33" s="15" t="n"/>
      <c r="D33" s="15" t="inlineStr">
        <is>
          <t>bool</t>
        </is>
      </c>
      <c r="E33" s="15" t="inlineStr">
        <is>
          <t>yes / no</t>
        </is>
      </c>
      <c r="F33" s="15" t="inlineStr">
        <is>
          <t>No</t>
        </is>
      </c>
      <c r="G33" s="15" t="inlineStr">
        <is>
          <t>Medications</t>
        </is>
      </c>
      <c r="H33" s="15" t="inlineStr">
        <is>
          <t>Y</t>
        </is>
      </c>
      <c r="I33" s="15" t="inlineStr">
        <is>
          <t>Y</t>
        </is>
      </c>
      <c r="J33" s="15" t="inlineStr">
        <is>
          <t>Y</t>
        </is>
      </c>
      <c r="K33" s="15" t="inlineStr">
        <is>
          <t>Y</t>
        </is>
      </c>
      <c r="L33" s="15" t="inlineStr">
        <is>
          <t>Y</t>
        </is>
      </c>
      <c r="M33" s="15" t="inlineStr">
        <is>
          <t>beta_blocker</t>
        </is>
      </c>
      <c r="N33" s="15" t="inlineStr">
        <is>
          <t>OMOP drug_exposure ≤365 d before index; ATC C07</t>
        </is>
      </c>
    </row>
    <row r="34" ht="15" customHeight="1" s="11">
      <c r="A34" s="15" t="inlineStr">
        <is>
          <t>anticoagulant</t>
        </is>
      </c>
      <c r="B34" s="15" t="inlineStr">
        <is>
          <t>Anticoagulant</t>
        </is>
      </c>
      <c r="C34" s="15" t="n"/>
      <c r="D34" s="15" t="inlineStr">
        <is>
          <t>bool</t>
        </is>
      </c>
      <c r="E34" s="15" t="inlineStr">
        <is>
          <t>yes / no</t>
        </is>
      </c>
      <c r="F34" s="15" t="inlineStr">
        <is>
          <t>No</t>
        </is>
      </c>
      <c r="G34" s="15" t="inlineStr">
        <is>
          <t>Medications</t>
        </is>
      </c>
      <c r="H34" s="15" t="inlineStr">
        <is>
          <t>Y</t>
        </is>
      </c>
      <c r="I34" s="15" t="inlineStr">
        <is>
          <t>Y</t>
        </is>
      </c>
      <c r="J34" s="15" t="inlineStr">
        <is>
          <t>Y</t>
        </is>
      </c>
      <c r="K34" s="15" t="inlineStr">
        <is>
          <t>Y</t>
        </is>
      </c>
      <c r="L34" s="15" t="inlineStr">
        <is>
          <t>Y</t>
        </is>
      </c>
      <c r="M34" s="15" t="inlineStr">
        <is>
          <t>anticoagulant</t>
        </is>
      </c>
      <c r="N34" s="15" t="inlineStr">
        <is>
          <t>OMOP drug_exposure ≤365 d before index; ATC B01AA, B01AE, B01AF</t>
        </is>
      </c>
    </row>
    <row r="35" ht="23.85" customHeight="1" s="11">
      <c r="A35" s="15" t="inlineStr">
        <is>
          <t>antihypertensive</t>
        </is>
      </c>
      <c r="B35" s="15" t="inlineStr">
        <is>
          <t>Any antihypertensive</t>
        </is>
      </c>
      <c r="C35" s="15" t="n"/>
      <c r="D35" s="15" t="inlineStr">
        <is>
          <t>bool</t>
        </is>
      </c>
      <c r="E35" s="15" t="inlineStr">
        <is>
          <t>yes / no</t>
        </is>
      </c>
      <c r="F35" s="15" t="inlineStr">
        <is>
          <t>No</t>
        </is>
      </c>
      <c r="G35" s="15" t="inlineStr">
        <is>
          <t>Medications</t>
        </is>
      </c>
      <c r="H35" s="15" t="inlineStr">
        <is>
          <t>Y</t>
        </is>
      </c>
      <c r="I35" s="15" t="inlineStr">
        <is>
          <t>Y</t>
        </is>
      </c>
      <c r="J35" s="15" t="inlineStr">
        <is>
          <t>Y</t>
        </is>
      </c>
      <c r="K35" s="15" t="inlineStr">
        <is>
          <t>Y</t>
        </is>
      </c>
      <c r="L35" s="15" t="inlineStr">
        <is>
          <t>Y</t>
        </is>
      </c>
      <c r="M35" s="15" t="inlineStr">
        <is>
          <t>antihypertensive</t>
        </is>
      </c>
      <c r="N35" s="15" t="inlineStr">
        <is>
          <t>OMOP drug_exposure ≤365 d before index; ATC C02, C03, C07, C08, C09</t>
        </is>
      </c>
    </row>
  </sheetData>
  <autoFilter ref="A2:N35"/>
  <mergeCells count="1">
    <mergeCell ref="A1:N1"/>
  </mergeCells>
  <dataValidations count="1">
    <dataValidation sqref="H3:L35" showDropDown="0" showInputMessage="0" showErrorMessage="0" allowBlank="0" type="list" errorStyle="stop" operator="between">
      <formula1>"Y,N"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43"/>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baseColWidth="8" defaultColWidth="8.6796875" defaultRowHeight="15" zeroHeight="0" outlineLevelRow="0"/>
  <cols>
    <col width="13" customWidth="1" style="10" min="1" max="1"/>
    <col width="22" customWidth="1" style="10" min="2" max="2"/>
    <col width="80" customWidth="1" style="10" min="3" max="3"/>
    <col width="12" customWidth="1" style="10" min="4" max="4"/>
    <col width="28" customWidth="1" style="10" min="5" max="5"/>
  </cols>
  <sheetData>
    <row r="1" ht="30" customHeight="1" s="11">
      <c r="A1" s="20" t="inlineStr">
        <is>
          <t>What the Render app returns for each calculation (POST /api/predict).</t>
        </is>
      </c>
    </row>
    <row r="2" ht="15" customHeight="1" s="11">
      <c r="A2" s="14" t="inlineStr">
        <is>
          <t>Calculator</t>
        </is>
      </c>
      <c r="B2" s="14" t="inlineStr">
        <is>
          <t>Output</t>
        </is>
      </c>
      <c r="C2" s="14" t="inlineStr">
        <is>
          <t>Description</t>
        </is>
      </c>
      <c r="D2" s="14" t="inlineStr">
        <is>
          <t>Form</t>
        </is>
      </c>
      <c r="E2" s="14" t="inlineStr">
        <is>
          <t>Produced by</t>
        </is>
      </c>
    </row>
    <row r="3" ht="23.85" customHeight="1" s="11">
      <c r="A3" s="15" t="inlineStr">
        <is>
          <t>AMI</t>
        </is>
      </c>
      <c r="B3" s="15" t="inlineStr">
        <is>
          <t>Primary risk</t>
        </is>
      </c>
      <c r="C3" s="15" t="inlineStr">
        <is>
          <t>5-year probability of acute myocardial infarction (falls back to 1-year / 30-day if no 5-year model)</t>
        </is>
      </c>
      <c r="D3" s="15" t="inlineStr">
        <is>
          <t>0–100 %</t>
        </is>
      </c>
      <c r="E3" s="15" t="inlineStr">
        <is>
          <t>AI model (calibrated gradient boosting)</t>
        </is>
      </c>
    </row>
    <row r="4" ht="23.85" customHeight="1" s="11">
      <c r="A4" s="15" t="inlineStr">
        <is>
          <t>AMI</t>
        </is>
      </c>
      <c r="B4" s="15" t="inlineStr">
        <is>
          <t>Risk category</t>
        </is>
      </c>
      <c r="C4" s="15" t="inlineStr">
        <is>
          <t>Low &lt;5%, Moderate 5–10%, High 10–20%, Very high ≥20% of the 5-year risk (display bands, not treatment thresholds)</t>
        </is>
      </c>
      <c r="D4" s="15" t="inlineStr">
        <is>
          <t>category</t>
        </is>
      </c>
      <c r="E4" s="15" t="inlineStr">
        <is>
          <t>App rule</t>
        </is>
      </c>
    </row>
    <row r="5" ht="23.85" customHeight="1" s="11">
      <c r="A5" s="15" t="inlineStr">
        <is>
          <t>AMI</t>
        </is>
      </c>
      <c r="B5" s="15" t="inlineStr">
        <is>
          <t>Risk by horizon</t>
        </is>
      </c>
      <c r="C5" s="15" t="inlineStr">
        <is>
          <t>Probability for every endpoint × 30 days, 1 year, 5 years; cumulative risk never falls with a longer horizon</t>
        </is>
      </c>
      <c r="D5" s="15" t="inlineStr">
        <is>
          <t>table of %</t>
        </is>
      </c>
      <c r="E5" s="15" t="inlineStr">
        <is>
          <t>AI model</t>
        </is>
      </c>
    </row>
    <row r="6" ht="15" customHeight="1" s="11">
      <c r="A6" s="15" t="inlineStr">
        <is>
          <t>AMI</t>
        </is>
      </c>
      <c r="B6" s="15" t="inlineStr">
        <is>
          <t>Model performance</t>
        </is>
      </c>
      <c r="C6" s="15" t="inlineStr">
        <is>
          <t>Hold-out C-statistic with 95% CI, target, target met (CI lower bound ≥ target), calibration slope</t>
        </is>
      </c>
      <c r="D6" s="15" t="inlineStr">
        <is>
          <t>numbers</t>
        </is>
      </c>
      <c r="E6" s="15" t="inlineStr">
        <is>
          <t>Bundle manifest</t>
        </is>
      </c>
    </row>
    <row r="7" ht="23.85" customHeight="1" s="11">
      <c r="A7" s="15" t="inlineStr">
        <is>
          <t>AMI</t>
        </is>
      </c>
      <c r="B7" s="15" t="inlineStr">
        <is>
          <t>Risk drivers</t>
        </is>
      </c>
      <c r="C7" s="15" t="inlineStr">
        <is>
          <t>Top 8 factors: change in risk when each factor is set to the training cohort's typical value (percentage points)</t>
        </is>
      </c>
      <c r="D7" s="15" t="inlineStr">
        <is>
          <t>list</t>
        </is>
      </c>
      <c r="E7" s="15" t="inlineStr">
        <is>
          <t>AI model</t>
        </is>
      </c>
    </row>
    <row r="8" ht="15" customHeight="1" s="11">
      <c r="A8" s="15" t="inlineStr">
        <is>
          <t>AMI</t>
        </is>
      </c>
      <c r="B8" s="15" t="inlineStr">
        <is>
          <t>Published equations</t>
        </is>
      </c>
      <c r="C8" s="15" t="inlineStr">
        <is>
          <t>Pooled Cohort Equations (2013 ACC/AHA)</t>
        </is>
      </c>
      <c r="D8" s="15" t="inlineStr">
        <is>
          <t>% / score</t>
        </is>
      </c>
      <c r="E8" s="15" t="inlineStr">
        <is>
          <t>Published equations</t>
        </is>
      </c>
    </row>
    <row r="9" ht="23.85" customHeight="1" s="11">
      <c r="A9" s="15" t="inlineStr">
        <is>
          <t>AMI</t>
        </is>
      </c>
      <c r="B9" s="15" t="inlineStr">
        <is>
          <t>Clinical considerations</t>
        </is>
      </c>
      <c r="C9" s="15" t="inlineStr">
        <is>
          <t>Guideline-anchored notes (statin, BP, GDMT, anticoagulation, ICD screen) from published equations and measured values, never from the AI risk</t>
        </is>
      </c>
      <c r="D9" s="15" t="inlineStr">
        <is>
          <t>text</t>
        </is>
      </c>
      <c r="E9" s="15" t="inlineStr">
        <is>
          <t>App rules</t>
        </is>
      </c>
    </row>
    <row r="10" ht="23.85" customHeight="1" s="11">
      <c r="A10" s="15" t="inlineStr">
        <is>
          <t>AMI</t>
        </is>
      </c>
      <c r="B10" s="15" t="inlineStr">
        <is>
          <t>Provenance</t>
        </is>
      </c>
      <c r="C10" s="15" t="inlineStr">
        <is>
          <t>Model bundle id, training data source, number of patients, label governance (adjudicated cases, κ range, release id)</t>
        </is>
      </c>
      <c r="D10" s="15" t="inlineStr">
        <is>
          <t>text</t>
        </is>
      </c>
      <c r="E10" s="15" t="inlineStr">
        <is>
          <t>Bundle manifest</t>
        </is>
      </c>
    </row>
    <row r="11" ht="23.85" customHeight="1" s="11">
      <c r="A11" s="15" t="inlineStr">
        <is>
          <t>Stroke</t>
        </is>
      </c>
      <c r="B11" s="15" t="inlineStr">
        <is>
          <t>Primary risk</t>
        </is>
      </c>
      <c r="C11" s="15" t="inlineStr">
        <is>
          <t>5-year probability of any stroke or tia (falls back to 1-year / 30-day if no 5-year model)</t>
        </is>
      </c>
      <c r="D11" s="15" t="inlineStr">
        <is>
          <t>0–100 %</t>
        </is>
      </c>
      <c r="E11" s="15" t="inlineStr">
        <is>
          <t>AI model (calibrated gradient boosting)</t>
        </is>
      </c>
    </row>
    <row r="12" ht="23.85" customHeight="1" s="11">
      <c r="A12" s="15" t="inlineStr">
        <is>
          <t>Stroke</t>
        </is>
      </c>
      <c r="B12" s="15" t="inlineStr">
        <is>
          <t>Risk category</t>
        </is>
      </c>
      <c r="C12" s="15" t="inlineStr">
        <is>
          <t>Low &lt;5%, Moderate 5–10%, High 10–20%, Very high ≥20% of the 5-year risk (display bands, not treatment thresholds)</t>
        </is>
      </c>
      <c r="D12" s="15" t="inlineStr">
        <is>
          <t>category</t>
        </is>
      </c>
      <c r="E12" s="15" t="inlineStr">
        <is>
          <t>App rule</t>
        </is>
      </c>
    </row>
    <row r="13" ht="23.85" customHeight="1" s="11">
      <c r="A13" s="15" t="inlineStr">
        <is>
          <t>Stroke</t>
        </is>
      </c>
      <c r="B13" s="15" t="inlineStr">
        <is>
          <t>Risk by horizon</t>
        </is>
      </c>
      <c r="C13" s="15" t="inlineStr">
        <is>
          <t>Probability for every endpoint × 30 days, 1 year, 5 years; cumulative risk never falls with a longer horizon</t>
        </is>
      </c>
      <c r="D13" s="15" t="inlineStr">
        <is>
          <t>table of %</t>
        </is>
      </c>
      <c r="E13" s="15" t="inlineStr">
        <is>
          <t>AI model</t>
        </is>
      </c>
    </row>
    <row r="14" ht="15" customHeight="1" s="11">
      <c r="A14" s="15" t="inlineStr">
        <is>
          <t>Stroke</t>
        </is>
      </c>
      <c r="B14" s="15" t="inlineStr">
        <is>
          <t>Model performance</t>
        </is>
      </c>
      <c r="C14" s="15" t="inlineStr">
        <is>
          <t>Hold-out C-statistic with 95% CI, target, target met (CI lower bound ≥ target), calibration slope</t>
        </is>
      </c>
      <c r="D14" s="15" t="inlineStr">
        <is>
          <t>numbers</t>
        </is>
      </c>
      <c r="E14" s="15" t="inlineStr">
        <is>
          <t>Bundle manifest</t>
        </is>
      </c>
    </row>
    <row r="15" ht="23.85" customHeight="1" s="11">
      <c r="A15" s="15" t="inlineStr">
        <is>
          <t>Stroke</t>
        </is>
      </c>
      <c r="B15" s="15" t="inlineStr">
        <is>
          <t>Risk drivers</t>
        </is>
      </c>
      <c r="C15" s="15" t="inlineStr">
        <is>
          <t>Top 8 factors: change in risk when each factor is set to the training cohort's typical value (percentage points)</t>
        </is>
      </c>
      <c r="D15" s="15" t="inlineStr">
        <is>
          <t>list</t>
        </is>
      </c>
      <c r="E15" s="15" t="inlineStr">
        <is>
          <t>AI model</t>
        </is>
      </c>
    </row>
    <row r="16" ht="15" customHeight="1" s="11">
      <c r="A16" s="15" t="inlineStr">
        <is>
          <t>Stroke</t>
        </is>
      </c>
      <c r="B16" s="15" t="inlineStr">
        <is>
          <t>Published equations</t>
        </is>
      </c>
      <c r="C16" s="15" t="inlineStr">
        <is>
          <t>CHA₂DS₂-VASc, Pooled Cohort Equations (2013 ACC/AHA)</t>
        </is>
      </c>
      <c r="D16" s="15" t="inlineStr">
        <is>
          <t>% / score</t>
        </is>
      </c>
      <c r="E16" s="15" t="inlineStr">
        <is>
          <t>Published equations</t>
        </is>
      </c>
    </row>
    <row r="17" ht="23.85" customHeight="1" s="11">
      <c r="A17" s="15" t="inlineStr">
        <is>
          <t>Stroke</t>
        </is>
      </c>
      <c r="B17" s="15" t="inlineStr">
        <is>
          <t>Clinical considerations</t>
        </is>
      </c>
      <c r="C17" s="15" t="inlineStr">
        <is>
          <t>Guideline-anchored notes (statin, BP, GDMT, anticoagulation, ICD screen) from published equations and measured values, never from the AI risk</t>
        </is>
      </c>
      <c r="D17" s="15" t="inlineStr">
        <is>
          <t>text</t>
        </is>
      </c>
      <c r="E17" s="15" t="inlineStr">
        <is>
          <t>App rules</t>
        </is>
      </c>
    </row>
    <row r="18" ht="23.85" customHeight="1" s="11">
      <c r="A18" s="15" t="inlineStr">
        <is>
          <t>Stroke</t>
        </is>
      </c>
      <c r="B18" s="15" t="inlineStr">
        <is>
          <t>Provenance</t>
        </is>
      </c>
      <c r="C18" s="15" t="inlineStr">
        <is>
          <t>Model bundle id, training data source, number of patients, label governance (adjudicated cases, κ range, release id)</t>
        </is>
      </c>
      <c r="D18" s="15" t="inlineStr">
        <is>
          <t>text</t>
        </is>
      </c>
      <c r="E18" s="15" t="inlineStr">
        <is>
          <t>Bundle manifest</t>
        </is>
      </c>
    </row>
    <row r="19" ht="23.85" customHeight="1" s="11">
      <c r="A19" s="15" t="inlineStr">
        <is>
          <t>Heart failure</t>
        </is>
      </c>
      <c r="B19" s="15" t="inlineStr">
        <is>
          <t>Primary risk</t>
        </is>
      </c>
      <c r="C19" s="15" t="inlineStr">
        <is>
          <t>5-year probability of heart failure hospitalization / diagnosis (falls back to 1-year / 30-day if no 5-year model)</t>
        </is>
      </c>
      <c r="D19" s="15" t="inlineStr">
        <is>
          <t>0–100 %</t>
        </is>
      </c>
      <c r="E19" s="15" t="inlineStr">
        <is>
          <t>AI model (calibrated gradient boosting)</t>
        </is>
      </c>
    </row>
    <row r="20" ht="23.85" customHeight="1" s="11">
      <c r="A20" s="15" t="inlineStr">
        <is>
          <t>Heart failure</t>
        </is>
      </c>
      <c r="B20" s="15" t="inlineStr">
        <is>
          <t>Risk category</t>
        </is>
      </c>
      <c r="C20" s="15" t="inlineStr">
        <is>
          <t>Low &lt;5%, Moderate 5–10%, High 10–20%, Very high ≥20% of the 5-year risk (display bands, not treatment thresholds)</t>
        </is>
      </c>
      <c r="D20" s="15" t="inlineStr">
        <is>
          <t>category</t>
        </is>
      </c>
      <c r="E20" s="15" t="inlineStr">
        <is>
          <t>App rule</t>
        </is>
      </c>
    </row>
    <row r="21" ht="23.85" customHeight="1" s="11">
      <c r="A21" s="15" t="inlineStr">
        <is>
          <t>Heart failure</t>
        </is>
      </c>
      <c r="B21" s="15" t="inlineStr">
        <is>
          <t>Risk by horizon</t>
        </is>
      </c>
      <c r="C21" s="15" t="inlineStr">
        <is>
          <t>Probability for every endpoint × 30 days, 1 year, 5 years; cumulative risk never falls with a longer horizon</t>
        </is>
      </c>
      <c r="D21" s="15" t="inlineStr">
        <is>
          <t>table of %</t>
        </is>
      </c>
      <c r="E21" s="15" t="inlineStr">
        <is>
          <t>AI model</t>
        </is>
      </c>
    </row>
    <row r="22" ht="15" customHeight="1" s="11">
      <c r="A22" s="15" t="inlineStr">
        <is>
          <t>Heart failure</t>
        </is>
      </c>
      <c r="B22" s="15" t="inlineStr">
        <is>
          <t>Model performance</t>
        </is>
      </c>
      <c r="C22" s="15" t="inlineStr">
        <is>
          <t>Hold-out C-statistic with 95% CI, target, target met (CI lower bound ≥ target), calibration slope</t>
        </is>
      </c>
      <c r="D22" s="15" t="inlineStr">
        <is>
          <t>numbers</t>
        </is>
      </c>
      <c r="E22" s="15" t="inlineStr">
        <is>
          <t>Bundle manifest</t>
        </is>
      </c>
    </row>
    <row r="23" ht="23.85" customHeight="1" s="11">
      <c r="A23" s="15" t="inlineStr">
        <is>
          <t>Heart failure</t>
        </is>
      </c>
      <c r="B23" s="15" t="inlineStr">
        <is>
          <t>Risk drivers</t>
        </is>
      </c>
      <c r="C23" s="15" t="inlineStr">
        <is>
          <t>Top 8 factors: change in risk when each factor is set to the training cohort's typical value (percentage points)</t>
        </is>
      </c>
      <c r="D23" s="15" t="inlineStr">
        <is>
          <t>list</t>
        </is>
      </c>
      <c r="E23" s="15" t="inlineStr">
        <is>
          <t>AI model</t>
        </is>
      </c>
    </row>
    <row r="24" ht="15" customHeight="1" s="11">
      <c r="A24" s="15" t="inlineStr">
        <is>
          <t>Heart failure</t>
        </is>
      </c>
      <c r="B24" s="15" t="inlineStr">
        <is>
          <t>Published equations</t>
        </is>
      </c>
      <c r="C24" s="15" t="inlineStr">
        <is>
          <t>None for this calculator</t>
        </is>
      </c>
      <c r="D24" s="15" t="inlineStr">
        <is>
          <t>% / score</t>
        </is>
      </c>
      <c r="E24" s="15" t="inlineStr">
        <is>
          <t>Published equations</t>
        </is>
      </c>
    </row>
    <row r="25" ht="23.85" customHeight="1" s="11">
      <c r="A25" s="15" t="inlineStr">
        <is>
          <t>Heart failure</t>
        </is>
      </c>
      <c r="B25" s="15" t="inlineStr">
        <is>
          <t>Clinical considerations</t>
        </is>
      </c>
      <c r="C25" s="15" t="inlineStr">
        <is>
          <t>Guideline-anchored notes (statin, BP, GDMT, anticoagulation, ICD screen) from published equations and measured values, never from the AI risk</t>
        </is>
      </c>
      <c r="D25" s="15" t="inlineStr">
        <is>
          <t>text</t>
        </is>
      </c>
      <c r="E25" s="15" t="inlineStr">
        <is>
          <t>App rules</t>
        </is>
      </c>
    </row>
    <row r="26" ht="23.85" customHeight="1" s="11">
      <c r="A26" s="15" t="inlineStr">
        <is>
          <t>Heart failure</t>
        </is>
      </c>
      <c r="B26" s="15" t="inlineStr">
        <is>
          <t>Provenance</t>
        </is>
      </c>
      <c r="C26" s="15" t="inlineStr">
        <is>
          <t>Model bundle id, training data source, number of patients, label governance (adjudicated cases, κ range, release id)</t>
        </is>
      </c>
      <c r="D26" s="15" t="inlineStr">
        <is>
          <t>text</t>
        </is>
      </c>
      <c r="E26" s="15" t="inlineStr">
        <is>
          <t>Bundle manifest</t>
        </is>
      </c>
    </row>
    <row r="27" ht="23.85" customHeight="1" s="11">
      <c r="A27" s="15" t="inlineStr">
        <is>
          <t>SCD</t>
        </is>
      </c>
      <c r="B27" s="15" t="inlineStr">
        <is>
          <t>Primary risk</t>
        </is>
      </c>
      <c r="C27" s="15" t="inlineStr">
        <is>
          <t>5-year probability of cardiac arrest / vf / sustained vt (falls back to 1-year / 30-day if no 5-year model)</t>
        </is>
      </c>
      <c r="D27" s="15" t="inlineStr">
        <is>
          <t>0–100 %</t>
        </is>
      </c>
      <c r="E27" s="15" t="inlineStr">
        <is>
          <t>AI model (calibrated gradient boosting)</t>
        </is>
      </c>
    </row>
    <row r="28" ht="23.85" customHeight="1" s="11">
      <c r="A28" s="15" t="inlineStr">
        <is>
          <t>SCD</t>
        </is>
      </c>
      <c r="B28" s="15" t="inlineStr">
        <is>
          <t>Risk category</t>
        </is>
      </c>
      <c r="C28" s="15" t="inlineStr">
        <is>
          <t>Low &lt;5%, Moderate 5–10%, High 10–20%, Very high ≥20% of the 5-year risk (display bands, not treatment thresholds)</t>
        </is>
      </c>
      <c r="D28" s="15" t="inlineStr">
        <is>
          <t>category</t>
        </is>
      </c>
      <c r="E28" s="15" t="inlineStr">
        <is>
          <t>App rule</t>
        </is>
      </c>
    </row>
    <row r="29" ht="23.85" customHeight="1" s="11">
      <c r="A29" s="15" t="inlineStr">
        <is>
          <t>SCD</t>
        </is>
      </c>
      <c r="B29" s="15" t="inlineStr">
        <is>
          <t>Risk by horizon</t>
        </is>
      </c>
      <c r="C29" s="15" t="inlineStr">
        <is>
          <t>Probability for every endpoint × 30 days, 1 year, 5 years; cumulative risk never falls with a longer horizon</t>
        </is>
      </c>
      <c r="D29" s="15" t="inlineStr">
        <is>
          <t>table of %</t>
        </is>
      </c>
      <c r="E29" s="15" t="inlineStr">
        <is>
          <t>AI model</t>
        </is>
      </c>
    </row>
    <row r="30" ht="15" customHeight="1" s="11">
      <c r="A30" s="15" t="inlineStr">
        <is>
          <t>SCD</t>
        </is>
      </c>
      <c r="B30" s="15" t="inlineStr">
        <is>
          <t>Model performance</t>
        </is>
      </c>
      <c r="C30" s="15" t="inlineStr">
        <is>
          <t>Hold-out C-statistic with 95% CI, target, target met (CI lower bound ≥ target), calibration slope</t>
        </is>
      </c>
      <c r="D30" s="15" t="inlineStr">
        <is>
          <t>numbers</t>
        </is>
      </c>
      <c r="E30" s="15" t="inlineStr">
        <is>
          <t>Bundle manifest</t>
        </is>
      </c>
    </row>
    <row r="31" ht="23.85" customHeight="1" s="11">
      <c r="A31" s="15" t="inlineStr">
        <is>
          <t>SCD</t>
        </is>
      </c>
      <c r="B31" s="15" t="inlineStr">
        <is>
          <t>Risk drivers</t>
        </is>
      </c>
      <c r="C31" s="15" t="inlineStr">
        <is>
          <t>Top 8 factors: change in risk when each factor is set to the training cohort's typical value (percentage points)</t>
        </is>
      </c>
      <c r="D31" s="15" t="inlineStr">
        <is>
          <t>list</t>
        </is>
      </c>
      <c r="E31" s="15" t="inlineStr">
        <is>
          <t>AI model</t>
        </is>
      </c>
    </row>
    <row r="32" ht="15" customHeight="1" s="11">
      <c r="A32" s="15" t="inlineStr">
        <is>
          <t>SCD</t>
        </is>
      </c>
      <c r="B32" s="15" t="inlineStr">
        <is>
          <t>Published equations</t>
        </is>
      </c>
      <c r="C32" s="15" t="inlineStr">
        <is>
          <t>ACC/AHA/HRS primary-prevention ICD criteria (screen)</t>
        </is>
      </c>
      <c r="D32" s="15" t="inlineStr">
        <is>
          <t>% / score</t>
        </is>
      </c>
      <c r="E32" s="15" t="inlineStr">
        <is>
          <t>Published equations</t>
        </is>
      </c>
    </row>
    <row r="33" ht="23.85" customHeight="1" s="11">
      <c r="A33" s="15" t="inlineStr">
        <is>
          <t>SCD</t>
        </is>
      </c>
      <c r="B33" s="15" t="inlineStr">
        <is>
          <t>Clinical considerations</t>
        </is>
      </c>
      <c r="C33" s="15" t="inlineStr">
        <is>
          <t>Guideline-anchored notes (statin, BP, GDMT, anticoagulation, ICD screen) from published equations and measured values, never from the AI risk</t>
        </is>
      </c>
      <c r="D33" s="15" t="inlineStr">
        <is>
          <t>text</t>
        </is>
      </c>
      <c r="E33" s="15" t="inlineStr">
        <is>
          <t>App rules</t>
        </is>
      </c>
    </row>
    <row r="34" ht="23.85" customHeight="1" s="11">
      <c r="A34" s="15" t="inlineStr">
        <is>
          <t>SCD</t>
        </is>
      </c>
      <c r="B34" s="15" t="inlineStr">
        <is>
          <t>Provenance</t>
        </is>
      </c>
      <c r="C34" s="15" t="inlineStr">
        <is>
          <t>Model bundle id, training data source, number of patients, label governance (adjudicated cases, κ range, release id)</t>
        </is>
      </c>
      <c r="D34" s="15" t="inlineStr">
        <is>
          <t>text</t>
        </is>
      </c>
      <c r="E34" s="15" t="inlineStr">
        <is>
          <t>Bundle manifest</t>
        </is>
      </c>
    </row>
    <row r="35" ht="23.85" customHeight="1" s="11">
      <c r="A35" s="15" t="inlineStr">
        <is>
          <t>AF</t>
        </is>
      </c>
      <c r="B35" s="15" t="inlineStr">
        <is>
          <t>Primary risk</t>
        </is>
      </c>
      <c r="C35" s="15" t="inlineStr">
        <is>
          <t>5-year probability of new-onset atrial fibrillation / flutter (falls back to 1-year / 30-day if no 5-year model)</t>
        </is>
      </c>
      <c r="D35" s="15" t="inlineStr">
        <is>
          <t>0–100 %</t>
        </is>
      </c>
      <c r="E35" s="15" t="inlineStr">
        <is>
          <t>AI model (calibrated gradient boosting)</t>
        </is>
      </c>
    </row>
    <row r="36" ht="23.85" customHeight="1" s="11">
      <c r="A36" s="15" t="inlineStr">
        <is>
          <t>AF</t>
        </is>
      </c>
      <c r="B36" s="15" t="inlineStr">
        <is>
          <t>Risk category</t>
        </is>
      </c>
      <c r="C36" s="15" t="inlineStr">
        <is>
          <t>Low &lt;5%, Moderate 5–10%, High 10–20%, Very high ≥20% of the 5-year risk (display bands, not treatment thresholds)</t>
        </is>
      </c>
      <c r="D36" s="15" t="inlineStr">
        <is>
          <t>category</t>
        </is>
      </c>
      <c r="E36" s="15" t="inlineStr">
        <is>
          <t>App rule</t>
        </is>
      </c>
    </row>
    <row r="37" ht="23.85" customHeight="1" s="11">
      <c r="A37" s="15" t="inlineStr">
        <is>
          <t>AF</t>
        </is>
      </c>
      <c r="B37" s="15" t="inlineStr">
        <is>
          <t>Risk by horizon</t>
        </is>
      </c>
      <c r="C37" s="15" t="inlineStr">
        <is>
          <t>Probability for every endpoint × 30 days, 1 year, 5 years; cumulative risk never falls with a longer horizon</t>
        </is>
      </c>
      <c r="D37" s="15" t="inlineStr">
        <is>
          <t>table of %</t>
        </is>
      </c>
      <c r="E37" s="15" t="inlineStr">
        <is>
          <t>AI model</t>
        </is>
      </c>
    </row>
    <row r="38" ht="15" customHeight="1" s="11">
      <c r="A38" s="15" t="inlineStr">
        <is>
          <t>AF</t>
        </is>
      </c>
      <c r="B38" s="15" t="inlineStr">
        <is>
          <t>Model performance</t>
        </is>
      </c>
      <c r="C38" s="15" t="inlineStr">
        <is>
          <t>Hold-out C-statistic with 95% CI, target, target met (CI lower bound ≥ target), calibration slope</t>
        </is>
      </c>
      <c r="D38" s="15" t="inlineStr">
        <is>
          <t>numbers</t>
        </is>
      </c>
      <c r="E38" s="15" t="inlineStr">
        <is>
          <t>Bundle manifest</t>
        </is>
      </c>
    </row>
    <row r="39" ht="23.85" customHeight="1" s="11">
      <c r="A39" s="15" t="inlineStr">
        <is>
          <t>AF</t>
        </is>
      </c>
      <c r="B39" s="15" t="inlineStr">
        <is>
          <t>Risk drivers</t>
        </is>
      </c>
      <c r="C39" s="15" t="inlineStr">
        <is>
          <t>Top 8 factors: change in risk when each factor is set to the training cohort's typical value (percentage points)</t>
        </is>
      </c>
      <c r="D39" s="15" t="inlineStr">
        <is>
          <t>list</t>
        </is>
      </c>
      <c r="E39" s="15" t="inlineStr">
        <is>
          <t>AI model</t>
        </is>
      </c>
    </row>
    <row r="40" ht="15" customHeight="1" s="11">
      <c r="A40" s="15" t="inlineStr">
        <is>
          <t>AF</t>
        </is>
      </c>
      <c r="B40" s="15" t="inlineStr">
        <is>
          <t>Published equations</t>
        </is>
      </c>
      <c r="C40" s="15" t="inlineStr">
        <is>
          <t>CHARGE-AF (simple model)</t>
        </is>
      </c>
      <c r="D40" s="15" t="inlineStr">
        <is>
          <t>% / score</t>
        </is>
      </c>
      <c r="E40" s="15" t="inlineStr">
        <is>
          <t>Published equations</t>
        </is>
      </c>
    </row>
    <row r="41" ht="23.85" customHeight="1" s="11">
      <c r="A41" s="15" t="inlineStr">
        <is>
          <t>AF</t>
        </is>
      </c>
      <c r="B41" s="15" t="inlineStr">
        <is>
          <t>Clinical considerations</t>
        </is>
      </c>
      <c r="C41" s="15" t="inlineStr">
        <is>
          <t>Guideline-anchored notes (statin, BP, GDMT, anticoagulation, ICD screen) from published equations and measured values, never from the AI risk</t>
        </is>
      </c>
      <c r="D41" s="15" t="inlineStr">
        <is>
          <t>text</t>
        </is>
      </c>
      <c r="E41" s="15" t="inlineStr">
        <is>
          <t>App rules</t>
        </is>
      </c>
    </row>
    <row r="42" ht="23.85" customHeight="1" s="11">
      <c r="A42" s="15" t="inlineStr">
        <is>
          <t>AF</t>
        </is>
      </c>
      <c r="B42" s="15" t="inlineStr">
        <is>
          <t>Provenance</t>
        </is>
      </c>
      <c r="C42" s="15" t="inlineStr">
        <is>
          <t>Model bundle id, training data source, number of patients, label governance (adjudicated cases, κ range, release id)</t>
        </is>
      </c>
      <c r="D42" s="15" t="inlineStr">
        <is>
          <t>text</t>
        </is>
      </c>
      <c r="E42" s="15" t="inlineStr">
        <is>
          <t>Bundle manifest</t>
        </is>
      </c>
    </row>
    <row r="43" ht="23.85" customHeight="1" s="11">
      <c r="A43" s="15" t="inlineStr">
        <is>
          <t>AF</t>
        </is>
      </c>
      <c r="B43" s="15" t="inlineStr">
        <is>
          <t>Not applicable</t>
        </is>
      </c>
      <c r="C43" s="15" t="inlineStr">
        <is>
          <t>Patient already has atrial fibrillation. The new-onset AF model does not apply; recurrence prediction needs rhythm-monitoring data that this form does not collect.</t>
        </is>
      </c>
      <c r="D43" s="15" t="inlineStr">
        <is>
          <t>text</t>
        </is>
      </c>
      <c r="E43" s="15" t="inlineStr">
        <is>
          <t>App rule</t>
        </is>
      </c>
    </row>
  </sheetData>
  <autoFilter ref="A2:E43"/>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42"/>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baseColWidth="8" defaultColWidth="8.6796875" defaultRowHeight="15" zeroHeight="0" outlineLevelRow="0"/>
  <cols>
    <col width="14" customWidth="1" style="10" min="1" max="1"/>
    <col width="22" customWidth="1" style="10" min="2" max="2"/>
    <col width="62" customWidth="1" style="10" min="3" max="3"/>
    <col width="14" customWidth="1" style="10" min="4" max="5"/>
    <col width="30" customWidth="1" style="10" min="6" max="6"/>
  </cols>
  <sheetData>
    <row r="1" ht="30" customHeight="1" s="11">
      <c r="A1" s="20" t="inlineStr">
        <is>
          <t>Score = bias + Σ weights of votes → probability. ≥80% auto-confirmed, ≤20% auto-rejected, otherwise uncertain (sent to cardiologists). Expert-set starting weights (label model expert-v1); refit from adjudication with refit-label-model.</t>
        </is>
      </c>
    </row>
    <row r="2" ht="35.05" customHeight="1" s="11">
      <c r="A2" s="14" t="inlineStr">
        <is>
          <t>Outcome family</t>
        </is>
      </c>
      <c r="B2" s="14" t="inlineStr">
        <is>
          <t>Labelling function</t>
        </is>
      </c>
      <c r="C2" s="14" t="inlineStr">
        <is>
          <t>Evidence it checks</t>
        </is>
      </c>
      <c r="D2" s="14" t="inlineStr">
        <is>
          <t>Weight when it supports (+)</t>
        </is>
      </c>
      <c r="E2" s="14" t="inlineStr">
        <is>
          <t>Weight when it opposes (−)</t>
        </is>
      </c>
      <c r="F2" s="14" t="inlineStr">
        <is>
          <t>Notes</t>
        </is>
      </c>
    </row>
    <row r="3" ht="15" customHeight="1" s="11">
      <c r="A3" s="15" t="inlineStr">
        <is>
          <t>ami</t>
        </is>
      </c>
      <c r="B3" s="15" t="inlineStr">
        <is>
          <t>(bias)</t>
        </is>
      </c>
      <c r="C3" s="15" t="inlineStr">
        <is>
          <t>Starting log-odds before any evidence</t>
        </is>
      </c>
      <c r="D3" s="21" t="n">
        <v>-1</v>
      </c>
      <c r="E3" s="21" t="n"/>
      <c r="F3" s="15" t="n"/>
    </row>
    <row r="4" ht="15" customHeight="1" s="11">
      <c r="A4" s="15" t="inlineStr">
        <is>
          <t>ami</t>
        </is>
      </c>
      <c r="B4" s="15" t="inlineStr">
        <is>
          <t>acute_visit</t>
        </is>
      </c>
      <c r="C4" s="15" t="inlineStr">
        <is>
          <t>Code recorded in an inpatient/ED visit (+) vs outpatient only (−)</t>
        </is>
      </c>
      <c r="D4" s="21" t="n">
        <v>1</v>
      </c>
      <c r="E4" s="21" t="n">
        <v>1.5</v>
      </c>
      <c r="F4" s="15" t="n"/>
    </row>
    <row r="5" ht="15" customHeight="1" s="11">
      <c r="A5" s="15" t="inlineStr">
        <is>
          <t>ami</t>
        </is>
      </c>
      <c r="B5" s="15" t="inlineStr">
        <is>
          <t>primary_dx</t>
        </is>
      </c>
      <c r="C5" s="15" t="inlineStr">
        <is>
          <t>Coded as primary/principal diagnosis</t>
        </is>
      </c>
      <c r="D5" s="21" t="n">
        <v>0.8</v>
      </c>
      <c r="E5" s="21" t="n">
        <v>0</v>
      </c>
      <c r="F5" s="15" t="n"/>
    </row>
    <row r="6" ht="15" customHeight="1" s="11">
      <c r="A6" s="15" t="inlineStr">
        <is>
          <t>ami</t>
        </is>
      </c>
      <c r="B6" s="15" t="inlineStr">
        <is>
          <t>no_dx_code</t>
        </is>
      </c>
      <c r="C6" s="15" t="inlineStr">
        <is>
          <t>Evidence-only candidate (no outcome diagnosis code)</t>
        </is>
      </c>
      <c r="D6" s="21" t="n">
        <v>0</v>
      </c>
      <c r="E6" s="21" t="n">
        <v>0.5</v>
      </c>
      <c r="F6" s="15" t="n"/>
    </row>
    <row r="7" ht="15" customHeight="1" s="11">
      <c r="A7" s="15" t="inlineStr">
        <is>
          <t>ami</t>
        </is>
      </c>
      <c r="B7" s="15" t="inlineStr">
        <is>
          <t>trop_rise_fall</t>
        </is>
      </c>
      <c r="C7" s="15" t="inlineStr">
        <is>
          <t>Troponin &gt;99th-pct URL with rise/fall ≥20%</t>
        </is>
      </c>
      <c r="D7" s="21" t="n">
        <v>2.5</v>
      </c>
      <c r="E7" s="21" t="n">
        <v>0</v>
      </c>
      <c r="F7" s="15" t="n"/>
    </row>
    <row r="8" ht="15" customHeight="1" s="11">
      <c r="A8" s="15" t="inlineStr">
        <is>
          <t>ami</t>
        </is>
      </c>
      <c r="B8" s="15" t="inlineStr">
        <is>
          <t>trop_elevated_flat</t>
        </is>
      </c>
      <c r="C8" s="15" t="inlineStr">
        <is>
          <t>Troponin elevated without documented rise/fall</t>
        </is>
      </c>
      <c r="D8" s="21" t="n">
        <v>0.5</v>
      </c>
      <c r="E8" s="21" t="n">
        <v>0</v>
      </c>
      <c r="F8" s="15" t="n"/>
    </row>
    <row r="9" ht="15" customHeight="1" s="11">
      <c r="A9" s="15" t="inlineStr">
        <is>
          <t>ami</t>
        </is>
      </c>
      <c r="B9" s="15" t="inlineStr">
        <is>
          <t>trop_normal</t>
        </is>
      </c>
      <c r="C9" s="15" t="inlineStr">
        <is>
          <t>Troponin measured and all values ≤ URL</t>
        </is>
      </c>
      <c r="D9" s="21" t="n">
        <v>0</v>
      </c>
      <c r="E9" s="21" t="n">
        <v>3</v>
      </c>
      <c r="F9" s="15" t="n"/>
    </row>
    <row r="10" ht="15" customHeight="1" s="11">
      <c r="A10" s="15" t="inlineStr">
        <is>
          <t>ami</t>
        </is>
      </c>
      <c r="B10" s="15" t="inlineStr">
        <is>
          <t>coronary_procedure</t>
        </is>
      </c>
      <c r="C10" s="15" t="inlineStr">
        <is>
          <t>Coronary angiography or PCI in window</t>
        </is>
      </c>
      <c r="D10" s="21" t="n">
        <v>1</v>
      </c>
      <c r="E10" s="21" t="n">
        <v>0</v>
      </c>
      <c r="F10" s="15" t="n"/>
    </row>
    <row r="11" ht="15" customHeight="1" s="11">
      <c r="A11" s="15" t="inlineStr">
        <is>
          <t>ami</t>
        </is>
      </c>
      <c r="B11" s="15" t="inlineStr">
        <is>
          <t>note_mi</t>
        </is>
      </c>
      <c r="C11" s="15" t="inlineStr">
        <is>
          <t>MI affirmed (+) / negated (−) in notes</t>
        </is>
      </c>
      <c r="D11" s="21" t="n">
        <v>1.5</v>
      </c>
      <c r="E11" s="21" t="n">
        <v>2</v>
      </c>
      <c r="F11" s="15" t="n"/>
    </row>
    <row r="12" ht="15" customHeight="1" s="11">
      <c r="A12" s="15" t="inlineStr">
        <is>
          <t>ami</t>
        </is>
      </c>
      <c r="B12" s="15" t="inlineStr">
        <is>
          <t>note_mi_historical</t>
        </is>
      </c>
      <c r="C12" s="15" t="inlineStr">
        <is>
          <t>MI mentioned only as history</t>
        </is>
      </c>
      <c r="D12" s="21" t="n">
        <v>0</v>
      </c>
      <c r="E12" s="21" t="n">
        <v>1.5</v>
      </c>
      <c r="F12" s="15" t="n"/>
    </row>
    <row r="13" ht="15" customHeight="1" s="11">
      <c r="A13" s="15" t="inlineStr">
        <is>
          <t>stroke</t>
        </is>
      </c>
      <c r="B13" s="15" t="inlineStr">
        <is>
          <t>(bias)</t>
        </is>
      </c>
      <c r="C13" s="15" t="inlineStr">
        <is>
          <t>Starting log-odds before any evidence</t>
        </is>
      </c>
      <c r="D13" s="21" t="n">
        <v>-1</v>
      </c>
      <c r="E13" s="21" t="n"/>
      <c r="F13" s="15" t="n"/>
    </row>
    <row r="14" ht="15" customHeight="1" s="11">
      <c r="A14" s="15" t="inlineStr">
        <is>
          <t>stroke</t>
        </is>
      </c>
      <c r="B14" s="15" t="inlineStr">
        <is>
          <t>acute_visit</t>
        </is>
      </c>
      <c r="C14" s="15" t="inlineStr">
        <is>
          <t>Code recorded in an inpatient/ED visit (+) vs outpatient only (−)</t>
        </is>
      </c>
      <c r="D14" s="21" t="n">
        <v>1</v>
      </c>
      <c r="E14" s="21" t="n">
        <v>1.5</v>
      </c>
      <c r="F14" s="15" t="n"/>
    </row>
    <row r="15" ht="15" customHeight="1" s="11">
      <c r="A15" s="15" t="inlineStr">
        <is>
          <t>stroke</t>
        </is>
      </c>
      <c r="B15" s="15" t="inlineStr">
        <is>
          <t>primary_dx</t>
        </is>
      </c>
      <c r="C15" s="15" t="inlineStr">
        <is>
          <t>Coded as primary/principal diagnosis</t>
        </is>
      </c>
      <c r="D15" s="21" t="n">
        <v>0.8</v>
      </c>
      <c r="E15" s="21" t="n">
        <v>0</v>
      </c>
      <c r="F15" s="15" t="n"/>
    </row>
    <row r="16" ht="15" customHeight="1" s="11">
      <c r="A16" s="15" t="inlineStr">
        <is>
          <t>stroke</t>
        </is>
      </c>
      <c r="B16" s="15" t="inlineStr">
        <is>
          <t>no_dx_code</t>
        </is>
      </c>
      <c r="C16" s="15" t="inlineStr">
        <is>
          <t>Evidence-only candidate (no outcome diagnosis code)</t>
        </is>
      </c>
      <c r="D16" s="21" t="n">
        <v>0</v>
      </c>
      <c r="E16" s="21" t="n">
        <v>0.5</v>
      </c>
      <c r="F16" s="15" t="n"/>
    </row>
    <row r="17" ht="15" customHeight="1" s="11">
      <c r="A17" s="15" t="inlineStr">
        <is>
          <t>stroke</t>
        </is>
      </c>
      <c r="B17" s="15" t="inlineStr">
        <is>
          <t>neuroimaging</t>
        </is>
      </c>
      <c r="C17" s="15" t="inlineStr">
        <is>
          <t>Head CT/MRI in window (+); acute visit without imaging (−)</t>
        </is>
      </c>
      <c r="D17" s="21" t="n">
        <v>0.8</v>
      </c>
      <c r="E17" s="21" t="n">
        <v>1.5</v>
      </c>
      <c r="F17" s="15" t="n"/>
    </row>
    <row r="18" ht="15" customHeight="1" s="11">
      <c r="A18" s="15" t="inlineStr">
        <is>
          <t>stroke</t>
        </is>
      </c>
      <c r="B18" s="15" t="inlineStr">
        <is>
          <t>img_infarct</t>
        </is>
      </c>
      <c r="C18" s="15" t="inlineStr">
        <is>
          <t>Acute infarct / restricted diffusion reported</t>
        </is>
      </c>
      <c r="D18" s="21" t="n">
        <v>2</v>
      </c>
      <c r="E18" s="21" t="n">
        <v>0</v>
      </c>
      <c r="F18" s="15" t="n"/>
    </row>
    <row r="19" ht="15" customHeight="1" s="11">
      <c r="A19" s="15" t="inlineStr">
        <is>
          <t>stroke</t>
        </is>
      </c>
      <c r="B19" s="15" t="inlineStr">
        <is>
          <t>img_hemorrhage</t>
        </is>
      </c>
      <c r="C19" s="15" t="inlineStr">
        <is>
          <t>Acute intracranial hemorrhage reported</t>
        </is>
      </c>
      <c r="D19" s="21" t="n">
        <v>2.5</v>
      </c>
      <c r="E19" s="21" t="n">
        <v>0</v>
      </c>
      <c r="F19" s="15" t="n"/>
    </row>
    <row r="20" ht="15" customHeight="1" s="11">
      <c r="A20" s="15" t="inlineStr">
        <is>
          <t>stroke</t>
        </is>
      </c>
      <c r="B20" s="15" t="inlineStr">
        <is>
          <t>img_negative</t>
        </is>
      </c>
      <c r="C20" s="15" t="inlineStr">
        <is>
          <t>'No acute intracranial abnormality' without infarct/hemorrhage</t>
        </is>
      </c>
      <c r="D20" s="21" t="n">
        <v>0</v>
      </c>
      <c r="E20" s="21" t="n">
        <v>0.7</v>
      </c>
      <c r="F20" s="15" t="n"/>
    </row>
    <row r="21" ht="15" customHeight="1" s="11">
      <c r="A21" s="15" t="inlineStr">
        <is>
          <t>stroke</t>
        </is>
      </c>
      <c r="B21" s="15" t="inlineStr">
        <is>
          <t>note_stroke</t>
        </is>
      </c>
      <c r="C21" s="15" t="inlineStr">
        <is>
          <t>Stroke/TIA affirmed (+) / negated or history-only (−)</t>
        </is>
      </c>
      <c r="D21" s="21" t="n">
        <v>1.5</v>
      </c>
      <c r="E21" s="21" t="n">
        <v>2</v>
      </c>
      <c r="F21" s="15" t="n"/>
    </row>
    <row r="22" ht="15" customHeight="1" s="11">
      <c r="A22" s="15" t="inlineStr">
        <is>
          <t>stroke</t>
        </is>
      </c>
      <c r="B22" s="15" t="inlineStr">
        <is>
          <t>reperfusion</t>
        </is>
      </c>
      <c r="C22" s="15" t="inlineStr">
        <is>
          <t>Thrombolysis or thrombectomy</t>
        </is>
      </c>
      <c r="D22" s="21" t="n">
        <v>1.5</v>
      </c>
      <c r="E22" s="21" t="n">
        <v>0</v>
      </c>
      <c r="F22" s="15" t="n"/>
    </row>
    <row r="23" ht="15" customHeight="1" s="11">
      <c r="A23" s="15" t="inlineStr">
        <is>
          <t>hf</t>
        </is>
      </c>
      <c r="B23" s="15" t="inlineStr">
        <is>
          <t>(bias)</t>
        </is>
      </c>
      <c r="C23" s="15" t="inlineStr">
        <is>
          <t>Starting log-odds before any evidence</t>
        </is>
      </c>
      <c r="D23" s="21" t="n">
        <v>-1</v>
      </c>
      <c r="E23" s="21" t="n"/>
      <c r="F23" s="15" t="n"/>
    </row>
    <row r="24" ht="15" customHeight="1" s="11">
      <c r="A24" s="15" t="inlineStr">
        <is>
          <t>hf</t>
        </is>
      </c>
      <c r="B24" s="15" t="inlineStr">
        <is>
          <t>acute_visit</t>
        </is>
      </c>
      <c r="C24" s="15" t="inlineStr">
        <is>
          <t>Code recorded in an inpatient/ED visit (+) vs outpatient only (−)</t>
        </is>
      </c>
      <c r="D24" s="21" t="n">
        <v>1</v>
      </c>
      <c r="E24" s="21" t="n">
        <v>1</v>
      </c>
      <c r="F24" s="15" t="n"/>
    </row>
    <row r="25" ht="15" customHeight="1" s="11">
      <c r="A25" s="15" t="inlineStr">
        <is>
          <t>hf</t>
        </is>
      </c>
      <c r="B25" s="15" t="inlineStr">
        <is>
          <t>primary_dx</t>
        </is>
      </c>
      <c r="C25" s="15" t="inlineStr">
        <is>
          <t>Coded as primary/principal diagnosis</t>
        </is>
      </c>
      <c r="D25" s="21" t="n">
        <v>0.8</v>
      </c>
      <c r="E25" s="21" t="n">
        <v>0</v>
      </c>
      <c r="F25" s="15" t="n"/>
    </row>
    <row r="26" ht="15" customHeight="1" s="11">
      <c r="A26" s="15" t="inlineStr">
        <is>
          <t>hf</t>
        </is>
      </c>
      <c r="B26" s="15" t="inlineStr">
        <is>
          <t>no_dx_code</t>
        </is>
      </c>
      <c r="C26" s="15" t="inlineStr">
        <is>
          <t>Evidence-only candidate (no outcome diagnosis code)</t>
        </is>
      </c>
      <c r="D26" s="21" t="n">
        <v>0</v>
      </c>
      <c r="E26" s="21" t="n">
        <v>0.5</v>
      </c>
      <c r="F26" s="15" t="n"/>
    </row>
    <row r="27" ht="15" customHeight="1" s="11">
      <c r="A27" s="15" t="inlineStr">
        <is>
          <t>hf</t>
        </is>
      </c>
      <c r="B27" s="15" t="inlineStr">
        <is>
          <t>natriuretic_peptide</t>
        </is>
      </c>
      <c r="C27" s="15" t="inlineStr">
        <is>
          <t>BNP/NT-proBNP above rule-in (+) / all below rule-out (−)</t>
        </is>
      </c>
      <c r="D27" s="21" t="n">
        <v>1.5</v>
      </c>
      <c r="E27" s="21" t="n">
        <v>2</v>
      </c>
      <c r="F27" s="15" t="n"/>
    </row>
    <row r="28" ht="15" customHeight="1" s="11">
      <c r="A28" s="15" t="inlineStr">
        <is>
          <t>hf</t>
        </is>
      </c>
      <c r="B28" s="15" t="inlineStr">
        <is>
          <t>note_hf</t>
        </is>
      </c>
      <c r="C28" s="15" t="inlineStr">
        <is>
          <t>Acute/decompensated HF affirmed (+) / HF negated (−)</t>
        </is>
      </c>
      <c r="D28" s="21" t="n">
        <v>1.5</v>
      </c>
      <c r="E28" s="21" t="n">
        <v>1.5</v>
      </c>
      <c r="F28" s="15" t="n"/>
    </row>
    <row r="29" ht="15" customHeight="1" s="11">
      <c r="A29" s="15" t="inlineStr">
        <is>
          <t>hf</t>
        </is>
      </c>
      <c r="B29" s="15" t="inlineStr">
        <is>
          <t>echo</t>
        </is>
      </c>
      <c r="C29" s="15" t="inlineStr">
        <is>
          <t>Echocardiogram or LVEF reported in window</t>
        </is>
      </c>
      <c r="D29" s="21" t="n">
        <v>0.3</v>
      </c>
      <c r="E29" s="21" t="n">
        <v>0</v>
      </c>
      <c r="F29" s="15" t="n"/>
    </row>
    <row r="30" ht="15" customHeight="1" s="11">
      <c r="A30" s="15" t="inlineStr">
        <is>
          <t>scd</t>
        </is>
      </c>
      <c r="B30" s="15" t="inlineStr">
        <is>
          <t>(bias)</t>
        </is>
      </c>
      <c r="C30" s="15" t="inlineStr">
        <is>
          <t>Starting log-odds before any evidence</t>
        </is>
      </c>
      <c r="D30" s="21" t="n">
        <v>-1</v>
      </c>
      <c r="E30" s="21" t="n"/>
      <c r="F30" s="15" t="n"/>
    </row>
    <row r="31" ht="15" customHeight="1" s="11">
      <c r="A31" s="15" t="inlineStr">
        <is>
          <t>scd</t>
        </is>
      </c>
      <c r="B31" s="15" t="inlineStr">
        <is>
          <t>acute_visit</t>
        </is>
      </c>
      <c r="C31" s="15" t="inlineStr">
        <is>
          <t>Code recorded in an inpatient/ED visit (+) vs outpatient only (−)</t>
        </is>
      </c>
      <c r="D31" s="21" t="n">
        <v>1</v>
      </c>
      <c r="E31" s="21" t="n">
        <v>1</v>
      </c>
      <c r="F31" s="15" t="n"/>
    </row>
    <row r="32" ht="15" customHeight="1" s="11">
      <c r="A32" s="15" t="inlineStr">
        <is>
          <t>scd</t>
        </is>
      </c>
      <c r="B32" s="15" t="inlineStr">
        <is>
          <t>primary_dx</t>
        </is>
      </c>
      <c r="C32" s="15" t="inlineStr">
        <is>
          <t>Coded as primary/principal diagnosis</t>
        </is>
      </c>
      <c r="D32" s="21" t="n">
        <v>0.8</v>
      </c>
      <c r="E32" s="21" t="n">
        <v>0</v>
      </c>
      <c r="F32" s="15" t="n"/>
    </row>
    <row r="33" ht="15" customHeight="1" s="11">
      <c r="A33" s="15" t="inlineStr">
        <is>
          <t>scd</t>
        </is>
      </c>
      <c r="B33" s="15" t="inlineStr">
        <is>
          <t>no_dx_code</t>
        </is>
      </c>
      <c r="C33" s="15" t="inlineStr">
        <is>
          <t>Evidence-only candidate (no outcome diagnosis code)</t>
        </is>
      </c>
      <c r="D33" s="21" t="n">
        <v>0</v>
      </c>
      <c r="E33" s="21" t="n">
        <v>0.5</v>
      </c>
      <c r="F33" s="15" t="n"/>
    </row>
    <row r="34" ht="15" customHeight="1" s="11">
      <c r="A34" s="15" t="inlineStr">
        <is>
          <t>scd</t>
        </is>
      </c>
      <c r="B34" s="15" t="inlineStr">
        <is>
          <t>resuscitation</t>
        </is>
      </c>
      <c r="C34" s="15" t="inlineStr">
        <is>
          <t>CPR or defibrillation in window</t>
        </is>
      </c>
      <c r="D34" s="21" t="n">
        <v>2.5</v>
      </c>
      <c r="E34" s="21" t="n">
        <v>0</v>
      </c>
      <c r="F34" s="15" t="n"/>
    </row>
    <row r="35" ht="15" customHeight="1" s="11">
      <c r="A35" s="15" t="inlineStr">
        <is>
          <t>scd</t>
        </is>
      </c>
      <c r="B35" s="15" t="inlineStr">
        <is>
          <t>note_arrest</t>
        </is>
      </c>
      <c r="C35" s="15" t="inlineStr">
        <is>
          <t>Arrest/VF/sustained VT/ROSC affirmed (+) / negated (−)</t>
        </is>
      </c>
      <c r="D35" s="21" t="n">
        <v>1.5</v>
      </c>
      <c r="E35" s="21" t="n">
        <v>1.5</v>
      </c>
      <c r="F35" s="15" t="n"/>
    </row>
    <row r="36" ht="15" customHeight="1" s="11">
      <c r="A36" s="15" t="inlineStr">
        <is>
          <t>scd</t>
        </is>
      </c>
      <c r="B36" s="15" t="inlineStr">
        <is>
          <t>note_nsvt</t>
        </is>
      </c>
      <c r="C36" s="15" t="inlineStr">
        <is>
          <t>Only non-sustained VT documented</t>
        </is>
      </c>
      <c r="D36" s="21" t="n">
        <v>0</v>
      </c>
      <c r="E36" s="21" t="n">
        <v>2.5</v>
      </c>
      <c r="F36" s="15" t="n"/>
    </row>
    <row r="37" ht="15" customHeight="1" s="11">
      <c r="A37" s="15" t="inlineStr">
        <is>
          <t>scd</t>
        </is>
      </c>
      <c r="B37" s="15" t="inlineStr">
        <is>
          <t>died_within_1d</t>
        </is>
      </c>
      <c r="C37" s="15" t="inlineStr">
        <is>
          <t>Death within 1 day</t>
        </is>
      </c>
      <c r="D37" s="21" t="n">
        <v>1</v>
      </c>
      <c r="E37" s="21" t="n">
        <v>0</v>
      </c>
      <c r="F37" s="15" t="n"/>
    </row>
    <row r="38" ht="15" customHeight="1" s="11">
      <c r="A38" s="15" t="inlineStr">
        <is>
          <t>af</t>
        </is>
      </c>
      <c r="B38" s="15" t="inlineStr">
        <is>
          <t>(bias)</t>
        </is>
      </c>
      <c r="C38" s="15" t="inlineStr">
        <is>
          <t>Starting log-odds before any evidence</t>
        </is>
      </c>
      <c r="D38" s="21" t="n">
        <v>0</v>
      </c>
      <c r="E38" s="21" t="n"/>
      <c r="F38" s="15" t="n"/>
    </row>
    <row r="39" ht="15" customHeight="1" s="11">
      <c r="A39" s="15" t="inlineStr">
        <is>
          <t>af</t>
        </is>
      </c>
      <c r="B39" s="15" t="inlineStr">
        <is>
          <t>no_dx_code</t>
        </is>
      </c>
      <c r="C39" s="15" t="inlineStr">
        <is>
          <t>Evidence-only candidate (no outcome diagnosis code)</t>
        </is>
      </c>
      <c r="D39" s="21" t="n">
        <v>0</v>
      </c>
      <c r="E39" s="21" t="n">
        <v>0.5</v>
      </c>
      <c r="F39" s="15" t="n"/>
    </row>
    <row r="40" ht="15" customHeight="1" s="11">
      <c r="A40" s="15" t="inlineStr">
        <is>
          <t>af</t>
        </is>
      </c>
      <c r="B40" s="15" t="inlineStr">
        <is>
          <t>repeat_af_codes</t>
        </is>
      </c>
      <c r="C40" s="15" t="inlineStr">
        <is>
          <t>AF coded on ≥2 dates within 1 year (+) / single outpatient code (−)</t>
        </is>
      </c>
      <c r="D40" s="21" t="n">
        <v>1.5</v>
      </c>
      <c r="E40" s="21" t="n">
        <v>0.5</v>
      </c>
      <c r="F40" s="15" t="n"/>
    </row>
    <row r="41" ht="15" customHeight="1" s="11">
      <c r="A41" s="15" t="inlineStr">
        <is>
          <t>af</t>
        </is>
      </c>
      <c r="B41" s="15" t="inlineStr">
        <is>
          <t>note_af</t>
        </is>
      </c>
      <c r="C41" s="15" t="inlineStr">
        <is>
          <t>AF/flutter affirmed (+) / negated or only 'evaluate for' (−)</t>
        </is>
      </c>
      <c r="D41" s="21" t="n">
        <v>2</v>
      </c>
      <c r="E41" s="21" t="n">
        <v>1.5</v>
      </c>
      <c r="F41" s="15" t="n"/>
    </row>
    <row r="42" ht="15" customHeight="1" s="11">
      <c r="A42" s="15" t="inlineStr">
        <is>
          <t>af</t>
        </is>
      </c>
      <c r="B42" s="15" t="inlineStr">
        <is>
          <t>cardioversion</t>
        </is>
      </c>
      <c r="C42" s="15" t="inlineStr">
        <is>
          <t>Cardioversion performed</t>
        </is>
      </c>
      <c r="D42" s="21" t="n">
        <v>1</v>
      </c>
      <c r="E42" s="21" t="n">
        <v>0</v>
      </c>
      <c r="F42" s="15" t="n"/>
    </row>
  </sheetData>
  <autoFilter ref="A2:F42"/>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D17"/>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baseColWidth="8" defaultColWidth="8.6796875" defaultRowHeight="15" zeroHeight="0" outlineLevelRow="0"/>
  <cols>
    <col width="28" customWidth="1" style="10" min="1" max="1"/>
    <col width="20" customWidth="1" style="10" min="2" max="2"/>
    <col width="90" customWidth="1" style="10" min="3" max="3"/>
    <col width="26" customWidth="1" style="10" min="4" max="4"/>
  </cols>
  <sheetData>
    <row r="1" ht="30" customHeight="1" s="11">
      <c r="A1" s="20" t="inlineStr">
        <is>
          <t>Automatic annotation: how candidate episodes, note context, subtypes and imaging values are derived.</t>
        </is>
      </c>
    </row>
    <row r="2" ht="15" customHeight="1" s="11">
      <c r="A2" s="14" t="inlineStr">
        <is>
          <t>Rule</t>
        </is>
      </c>
      <c r="B2" s="14" t="inlineStr">
        <is>
          <t>Applies to</t>
        </is>
      </c>
      <c r="C2" s="14" t="inlineStr">
        <is>
          <t>Logic</t>
        </is>
      </c>
      <c r="D2" s="14" t="inlineStr">
        <is>
          <t>Evidence / file</t>
        </is>
      </c>
    </row>
    <row r="3" ht="23.85" customHeight="1" s="11">
      <c r="A3" s="15" t="inlineStr">
        <is>
          <t>Episode building</t>
        </is>
      </c>
      <c r="B3" s="15" t="inlineStr">
        <is>
          <t>All outcomes</t>
        </is>
      </c>
      <c r="C3" s="15" t="inlineStr">
        <is>
          <t>Post-index outcome codes for one patient and family with ≤7 days between consecutive codes form one candidate episode; date = first code</t>
        </is>
      </c>
      <c r="D3" s="15" t="inlineStr">
        <is>
          <t>Codes</t>
        </is>
      </c>
    </row>
    <row r="4" ht="23.85" customHeight="1" s="11">
      <c r="A4" s="15" t="inlineStr">
        <is>
          <t>Evidence-only candidates</t>
        </is>
      </c>
      <c r="B4" s="15" t="inlineStr">
        <is>
          <t>AMI, Stroke, SCD, AF</t>
        </is>
      </c>
      <c r="C4" s="15" t="inlineStr">
        <is>
          <t>PCI, thrombolysis/thrombectomy, CPR or cardioversion with no outcome code within 7 days creates a candidate (finds missed codes)</t>
        </is>
      </c>
      <c r="D4" s="15" t="inlineStr">
        <is>
          <t>Procedures</t>
        </is>
      </c>
    </row>
    <row r="5" ht="23.85" customHeight="1" s="11">
      <c r="A5" s="15" t="inlineStr">
        <is>
          <t>Label relevance</t>
        </is>
      </c>
      <c r="B5" s="15" t="inlineStr">
        <is>
          <t>All outcomes</t>
        </is>
      </c>
      <c r="C5" s="15" t="inlineStr">
        <is>
          <t>Candidates after a patient's first auto-confirmed (and definition-eligible) event cannot change a label and are not adjudicated</t>
        </is>
      </c>
      <c r="D5" s="15" t="inlineStr">
        <is>
          <t>Auto-labels</t>
        </is>
      </c>
    </row>
    <row r="6" ht="23.85" customHeight="1" s="11">
      <c r="A6" s="15" t="inlineStr">
        <is>
          <t>Note context (NegEx-style)</t>
        </is>
      </c>
      <c r="B6" s="15" t="inlineStr">
        <is>
          <t>All outcomes</t>
        </is>
      </c>
      <c r="C6" s="15" t="inlineStr">
        <is>
          <t>Each mention classed as affirmed, negated (no / ruled out / without …), historical (history of / prior / s/p) or hypothetical (rule out / evaluate for / possible)</t>
        </is>
      </c>
      <c r="D6" s="15" t="inlineStr">
        <is>
          <t>Notes, 45-character window</t>
        </is>
      </c>
    </row>
    <row r="7" ht="23.85" customHeight="1" s="11">
      <c r="A7" s="15" t="inlineStr">
        <is>
          <t>Mention patterns</t>
        </is>
      </c>
      <c r="B7" s="15" t="inlineStr">
        <is>
          <t>All outcomes</t>
        </is>
      </c>
      <c r="C7" s="15" t="inlineStr">
        <is>
          <t>ami: ami, nstemi, stemi, type2_mi; stroke: stroke, stroke_ischemic_img, stroke_hem_img, no_acute_intracranial; hf: hf_acute, hf_any; scd: arrest, nsvt, vf; af: af, flutter</t>
        </is>
      </c>
      <c r="D7" s="15" t="inlineStr">
        <is>
          <t>training/nlp.py</t>
        </is>
      </c>
    </row>
    <row r="8" ht="23.85" customHeight="1" s="11">
      <c r="A8" s="15" t="inlineStr">
        <is>
          <t>Troponin kinetics</t>
        </is>
      </c>
      <c r="B8" s="15" t="inlineStr">
        <is>
          <t>AMI</t>
        </is>
      </c>
      <c r="C8" s="15" t="inlineStr">
        <is>
          <t>Values normalised to ng/L; URL = range_high, else Mayo TRPS hs-TnT ≤15 (M) / ≤10 (F) ng/L; rise/fall = ≥20% change above URL, or Mayo rule ≥10 ng/L in 2 h / ≥12 ng/L in 6 h</t>
        </is>
      </c>
      <c r="D8" s="15" t="inlineStr">
        <is>
          <t>Labs −1 to +3 d</t>
        </is>
      </c>
    </row>
    <row r="9" ht="23.85" customHeight="1" s="11">
      <c r="A9" s="15" t="inlineStr">
        <is>
          <t>Natriuretic peptides</t>
        </is>
      </c>
      <c r="B9" s="15" t="inlineStr">
        <is>
          <t>HF</t>
        </is>
      </c>
      <c r="C9" s="15" t="inlineStr">
        <is>
          <t>Rule-in BNP ≥100 or NT-proBNP ≥450/900/1800 pg/mL (age &lt;50 / 50–75 / &gt;75); rule-out BNP &lt;100 and NT-proBNP &lt;300</t>
        </is>
      </c>
      <c r="D9" s="15" t="inlineStr">
        <is>
          <t>Labs −2 to +3 d</t>
        </is>
      </c>
    </row>
    <row r="10" ht="23.85" customHeight="1" s="11">
      <c r="A10" s="15" t="inlineStr">
        <is>
          <t>AMI subtype</t>
        </is>
      </c>
      <c r="B10" s="15" t="inlineStr">
        <is>
          <t>AMI</t>
        </is>
      </c>
      <c r="C10" s="15" t="inlineStr">
        <is>
          <t>Code subtype hints (Candidate codes tab): I21.A1 → type 2; I21.0–I21.3, I22.0/.1/.8/.9, ICD-9 410.0x–410.6x and 410.8x → STEMI; I21.4, I22.2, ICD-9 410.7x → NSTEMI; else unspecified. A 'type 2 MI / demand ischemia' or STEMI/NSTEMI mention in notes also sets it.</t>
        </is>
      </c>
      <c r="D10" s="15" t="inlineStr">
        <is>
          <t>Codes + notes</t>
        </is>
      </c>
    </row>
    <row r="11" ht="23.85" customHeight="1" s="11">
      <c r="A11" s="15" t="inlineStr">
        <is>
          <t>Stroke subtype</t>
        </is>
      </c>
      <c r="B11" s="15" t="inlineStr">
        <is>
          <t>Stroke</t>
        </is>
      </c>
      <c r="C11" s="15" t="inlineStr">
        <is>
          <t>Haemorrhage on imaging or I60–I62 → haemorrhagic; acute infarct or I63 → ischaemic; G45 → TIA; else unknown</t>
        </is>
      </c>
      <c r="D11" s="15" t="inlineStr">
        <is>
          <t>Codes + reports</t>
        </is>
      </c>
    </row>
    <row r="12" ht="23.85" customHeight="1" s="11">
      <c r="A12" s="15" t="inlineStr">
        <is>
          <t>HF subtype</t>
        </is>
      </c>
      <c r="B12" s="15" t="inlineStr">
        <is>
          <t>HF</t>
        </is>
      </c>
      <c r="C12" s="15" t="inlineStr">
        <is>
          <t>LVEF from echo/imaging −7 to +30 d: ≤40% HFrEF, 41–49% HFmrEF, ≥50% HFpEF; else I50.2/I50.4 → HFrEF, I50.3 → HFpEF; else unknown</t>
        </is>
      </c>
      <c r="D12" s="15" t="inlineStr">
        <is>
          <t>Echo notes + codes</t>
        </is>
      </c>
    </row>
    <row r="13" ht="15" customHeight="1" s="11">
      <c r="A13" s="15" t="inlineStr">
        <is>
          <t>SCD subtype</t>
        </is>
      </c>
      <c r="B13" s="15" t="inlineStr">
        <is>
          <t>SCD</t>
        </is>
      </c>
      <c r="C13" s="15" t="inlineStr">
        <is>
          <t>VF mention or I49.01 → VF; I47.2 with arrest → sustained VT; I46 or arrest → arrest; else unknown</t>
        </is>
      </c>
      <c r="D13" s="15" t="inlineStr">
        <is>
          <t>Codes + notes</t>
        </is>
      </c>
    </row>
    <row r="14" ht="15" customHeight="1" s="11">
      <c r="A14" s="15" t="inlineStr">
        <is>
          <t>AF subtype</t>
        </is>
      </c>
      <c r="B14" s="15" t="inlineStr">
        <is>
          <t>AF</t>
        </is>
      </c>
      <c r="C14" s="15" t="inlineStr">
        <is>
          <t>Cardiac surgery in the 30 days before → post-operative; flutter-only codes/mentions → flutter; else AF</t>
        </is>
      </c>
      <c r="D14" s="15" t="inlineStr">
        <is>
          <t>Procedures + codes + notes</t>
        </is>
      </c>
    </row>
    <row r="15" ht="23.85" customHeight="1" s="11">
      <c r="A15" s="15" t="inlineStr">
        <is>
          <t>LVEF extraction (feature + annotation)</t>
        </is>
      </c>
      <c r="B15" s="15" t="inlineStr">
        <is>
          <t>HF, SCD, AF inputs</t>
        </is>
      </c>
      <c r="C15" s="15" t="inlineStr">
        <is>
          <t>'LVEF / ejection fraction … NN%' or 'NN percent'; ranges → midpoint; accepted 5–85%</t>
        </is>
      </c>
      <c r="D15" s="15" t="inlineStr">
        <is>
          <t>training/imaging_nlp.py</t>
        </is>
      </c>
    </row>
    <row r="16" ht="23.85" customHeight="1" s="11">
      <c r="A16" s="15" t="inlineStr">
        <is>
          <t>Calcium score extraction</t>
        </is>
      </c>
      <c r="B16" s="15" t="inlineStr">
        <is>
          <t>AMI, Stroke, HF inputs</t>
        </is>
      </c>
      <c r="C16" s="15" t="inlineStr">
        <is>
          <t>'calcium score / Agatston … N', 'N Agatston', 'calcium … score N'; 'no coronary calcification' → 0; accepted 0–10,000</t>
        </is>
      </c>
      <c r="D16" s="15" t="inlineStr">
        <is>
          <t>training/imaging_nlp.py</t>
        </is>
      </c>
    </row>
    <row r="17" ht="23.85" customHeight="1" s="11">
      <c r="A17" s="15" t="inlineStr">
        <is>
          <t>Annotation verification</t>
        </is>
      </c>
      <c r="B17" s="15" t="inlineStr">
        <is>
          <t>LVEF, CAC</t>
        </is>
      </c>
      <c r="C17" s="15" t="inlineStr">
        <is>
          <t>100 reports (80% with an extracted value, 20% without) checked by a cardiologist; accuracy weighted by 1/sampling probability; gate ≥90%</t>
        </is>
      </c>
      <c r="D17" s="15" t="inlineStr">
        <is>
          <t>Workbench</t>
        </is>
      </c>
    </row>
  </sheetData>
  <autoFilter ref="A2:D17"/>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4"/>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baseColWidth="8" defaultColWidth="8.6796875" defaultRowHeight="15" zeroHeight="0" outlineLevelRow="0"/>
  <cols>
    <col width="20" customWidth="1" style="10" min="1" max="1"/>
    <col width="14" customWidth="1" style="10" min="2" max="2"/>
    <col width="70" customWidth="1" style="10" min="3" max="3"/>
    <col width="20" customWidth="1" style="10" min="4" max="4"/>
    <col width="22" customWidth="1" style="10" min="5" max="5"/>
  </cols>
  <sheetData>
    <row r="1" ht="30" customHeight="1" s="11">
      <c r="A1" s="20" t="inlineStr">
        <is>
          <t>22 checks run on every label run (training/audit.py); thresholds from data/governance.json. Warnings must be acknowledged and failures waived with a written reason or fixed before adjudication.</t>
        </is>
      </c>
    </row>
    <row r="2" ht="15" customHeight="1" s="11">
      <c r="A2" s="14" t="inlineStr">
        <is>
          <t>Check id</t>
        </is>
      </c>
      <c r="B2" s="14" t="inlineStr">
        <is>
          <t>Category</t>
        </is>
      </c>
      <c r="C2" s="14" t="inlineStr">
        <is>
          <t>What is checked</t>
        </is>
      </c>
      <c r="D2" s="14" t="inlineStr">
        <is>
          <t>Warn when</t>
        </is>
      </c>
      <c r="E2" s="14" t="inlineStr">
        <is>
          <t>Fail when</t>
        </is>
      </c>
    </row>
    <row r="3" ht="15" customHeight="1" s="11">
      <c r="A3" s="15" t="inlineStr">
        <is>
          <t>schema</t>
        </is>
      </c>
      <c r="B3" s="15" t="inlineStr">
        <is>
          <t>Schema</t>
        </is>
      </c>
      <c r="C3" s="15" t="inlineStr">
        <is>
          <t>Required columns present in the features table</t>
        </is>
      </c>
      <c r="D3" s="15" t="inlineStr">
        <is>
          <t>—</t>
        </is>
      </c>
      <c r="E3" s="15" t="inlineStr">
        <is>
          <t>any missing</t>
        </is>
      </c>
    </row>
    <row r="4" ht="15" customHeight="1" s="11">
      <c r="A4" s="15" t="inlineStr">
        <is>
          <t>orphans</t>
        </is>
      </c>
      <c r="B4" s="15" t="inlineStr">
        <is>
          <t>Schema</t>
        </is>
      </c>
      <c r="C4" s="15" t="inlineStr">
        <is>
          <t>Candidates for patients not in the cohort</t>
        </is>
      </c>
      <c r="D4" s="15" t="inlineStr">
        <is>
          <t>—</t>
        </is>
      </c>
      <c r="E4" s="15" t="inlineStr">
        <is>
          <t>&gt; 0</t>
        </is>
      </c>
    </row>
    <row r="5" ht="15" customHeight="1" s="11">
      <c r="A5" s="15" t="inlineStr">
        <is>
          <t>evidence_tables</t>
        </is>
      </c>
      <c r="B5" s="15" t="inlineStr">
        <is>
          <t>Schema</t>
        </is>
      </c>
      <c r="C5" s="15" t="inlineStr">
        <is>
          <t>Labs, procedures and notes tables are non-empty</t>
        </is>
      </c>
      <c r="D5" s="15" t="inlineStr">
        <is>
          <t>—</t>
        </is>
      </c>
      <c r="E5" s="15" t="inlineStr">
        <is>
          <t>any empty</t>
        </is>
      </c>
    </row>
    <row r="6" ht="15" customHeight="1" s="11">
      <c r="A6" s="15" t="inlineStr">
        <is>
          <t>cohort_size</t>
        </is>
      </c>
      <c r="B6" s="15" t="inlineStr">
        <is>
          <t>Cohort</t>
        </is>
      </c>
      <c r="C6" s="15" t="inlineStr">
        <is>
          <t>Number of patients</t>
        </is>
      </c>
      <c r="D6" s="15" t="inlineStr">
        <is>
          <t>—</t>
        </is>
      </c>
      <c r="E6" s="15" t="inlineStr">
        <is>
          <t>&lt; 1,000</t>
        </is>
      </c>
    </row>
    <row r="7" ht="15" customHeight="1" s="11">
      <c r="A7" s="15" t="inlineStr">
        <is>
          <t>duplicates</t>
        </is>
      </c>
      <c r="B7" s="15" t="inlineStr">
        <is>
          <t>Cohort</t>
        </is>
      </c>
      <c r="C7" s="15" t="inlineStr">
        <is>
          <t>Duplicate patients</t>
        </is>
      </c>
      <c r="D7" s="15" t="inlineStr">
        <is>
          <t>—</t>
        </is>
      </c>
      <c r="E7" s="15" t="inlineStr">
        <is>
          <t>&gt; 0</t>
        </is>
      </c>
    </row>
    <row r="8" ht="15" customHeight="1" s="11">
      <c r="A8" s="15" t="inlineStr">
        <is>
          <t>age_range</t>
        </is>
      </c>
      <c r="B8" s="15" t="inlineStr">
        <is>
          <t>Cohort</t>
        </is>
      </c>
      <c r="C8" s="15" t="inlineStr">
        <is>
          <t>Age at index outside 18–89</t>
        </is>
      </c>
      <c r="D8" s="15" t="inlineStr">
        <is>
          <t>—</t>
        </is>
      </c>
      <c r="E8" s="15" t="inlineStr">
        <is>
          <t>&gt; 0</t>
        </is>
      </c>
    </row>
    <row r="9" ht="15" customHeight="1" s="11">
      <c r="A9" s="15" t="inlineStr">
        <is>
          <t>followup_negative</t>
        </is>
      </c>
      <c r="B9" s="15" t="inlineStr">
        <is>
          <t>Temporal</t>
        </is>
      </c>
      <c r="C9" s="15" t="inlineStr">
        <is>
          <t>Negative follow-up time</t>
        </is>
      </c>
      <c r="D9" s="15" t="inlineStr">
        <is>
          <t>—</t>
        </is>
      </c>
      <c r="E9" s="15" t="inlineStr">
        <is>
          <t>&gt; 0</t>
        </is>
      </c>
    </row>
    <row r="10" ht="15" customHeight="1" s="11">
      <c r="A10" s="15" t="inlineStr">
        <is>
          <t>followup_5y</t>
        </is>
      </c>
      <c r="B10" s="15" t="inlineStr">
        <is>
          <t>Temporal</t>
        </is>
      </c>
      <c r="C10" s="15" t="inlineStr">
        <is>
          <t>Share with ≥5 years follow-up or death</t>
        </is>
      </c>
      <c r="D10" s="15" t="inlineStr">
        <is>
          <t>&lt; 30%</t>
        </is>
      </c>
      <c r="E10" s="15" t="inlineStr">
        <is>
          <t>—</t>
        </is>
      </c>
    </row>
    <row r="11" ht="15" customHeight="1" s="11">
      <c r="A11" s="15" t="inlineStr">
        <is>
          <t>events_after_death</t>
        </is>
      </c>
      <c r="B11" s="15" t="inlineStr">
        <is>
          <t>Temporal</t>
        </is>
      </c>
      <c r="C11" s="15" t="inlineStr">
        <is>
          <t>Candidate events more than 1 day after recorded death</t>
        </is>
      </c>
      <c r="D11" s="15" t="inlineStr">
        <is>
          <t>&gt; 0</t>
        </is>
      </c>
      <c r="E11" s="15" t="inlineStr">
        <is>
          <t>&gt; 0.5% of candidates</t>
        </is>
      </c>
    </row>
    <row r="12" ht="15" customHeight="1" s="11">
      <c r="A12" s="15" t="inlineStr">
        <is>
          <t>events_after_index</t>
        </is>
      </c>
      <c r="B12" s="15" t="inlineStr">
        <is>
          <t>Leakage</t>
        </is>
      </c>
      <c r="C12" s="15" t="inlineStr">
        <is>
          <t>Candidate events on or before the index date</t>
        </is>
      </c>
      <c r="D12" s="15" t="inlineStr">
        <is>
          <t>—</t>
        </is>
      </c>
      <c r="E12" s="15" t="inlineStr">
        <is>
          <t>&gt; 0</t>
        </is>
      </c>
    </row>
    <row r="13" ht="23.85" customHeight="1" s="11">
      <c r="A13" s="15" t="inlineStr">
        <is>
          <t>plausibility</t>
        </is>
      </c>
      <c r="B13" s="15" t="inlineStr">
        <is>
          <t>Data quality</t>
        </is>
      </c>
      <c r="C13" s="15" t="inlineStr">
        <is>
          <t>Share of values outside each input's clinical range (worst feature); cleared to missing in the release</t>
        </is>
      </c>
      <c r="D13" s="15" t="inlineStr">
        <is>
          <t>&gt; 0.1%</t>
        </is>
      </c>
      <c r="E13" s="15" t="inlineStr">
        <is>
          <t>&gt; 1%</t>
        </is>
      </c>
    </row>
    <row r="14" ht="15" customHeight="1" s="11">
      <c r="A14" s="15" t="inlineStr">
        <is>
          <t>units</t>
        </is>
      </c>
      <c r="B14" s="15" t="inlineStr">
        <is>
          <t>Data quality</t>
        </is>
      </c>
      <c r="C14" s="15" t="inlineStr">
        <is>
          <t>Values suggesting unconverted units (metres/inches, pounds, mmol/L, mmol/mol)</t>
        </is>
      </c>
      <c r="D14" s="15" t="inlineStr">
        <is>
          <t>&gt; 0.1%</t>
        </is>
      </c>
      <c r="E14" s="15" t="inlineStr">
        <is>
          <t>&gt; 1%</t>
        </is>
      </c>
    </row>
    <row r="15" ht="15" customHeight="1" s="11">
      <c r="A15" s="15" t="inlineStr">
        <is>
          <t>core_missing</t>
        </is>
      </c>
      <c r="B15" s="15" t="inlineStr">
        <is>
          <t>Missingness</t>
        </is>
      </c>
      <c r="C15" s="15" t="inlineStr">
        <is>
          <t>Age, sex, SBP, total cholesterol, HDL missing</t>
        </is>
      </c>
      <c r="D15" s="15" t="inlineStr">
        <is>
          <t>—</t>
        </is>
      </c>
      <c r="E15" s="15" t="inlineStr">
        <is>
          <t>&gt; 5% for any</t>
        </is>
      </c>
    </row>
    <row r="16" ht="15" customHeight="1" s="11">
      <c r="A16" s="15" t="inlineStr">
        <is>
          <t>missingness</t>
        </is>
      </c>
      <c r="B16" s="15" t="inlineStr">
        <is>
          <t>Missingness</t>
        </is>
      </c>
      <c r="C16" s="15" t="inlineStr">
        <is>
          <t>Other inputs with high missingness (CAC, LVEF, hs-CRP exempt)</t>
        </is>
      </c>
      <c r="D16" s="15" t="inlineStr">
        <is>
          <t>&gt; 60%</t>
        </is>
      </c>
      <c r="E16" s="15" t="inlineStr">
        <is>
          <t>—</t>
        </is>
      </c>
    </row>
    <row r="17" ht="15" customHeight="1" s="11">
      <c r="A17" s="15" t="inlineStr">
        <is>
          <t>missing_disparity</t>
        </is>
      </c>
      <c r="B17" s="15" t="inlineStr">
        <is>
          <t>Fairness</t>
        </is>
      </c>
      <c r="C17" s="15" t="inlineStr">
        <is>
          <t>Gap in missingness between sex or race groups (≥100 patients)</t>
        </is>
      </c>
      <c r="D17" s="15" t="inlineStr">
        <is>
          <t>&gt; 15% points</t>
        </is>
      </c>
      <c r="E17" s="15" t="inlineStr">
        <is>
          <t>—</t>
        </is>
      </c>
    </row>
    <row r="18" ht="15" customHeight="1" s="11">
      <c r="A18" s="15" t="inlineStr">
        <is>
          <t>representation</t>
        </is>
      </c>
      <c r="B18" s="15" t="inlineStr">
        <is>
          <t>Fairness</t>
        </is>
      </c>
      <c r="C18" s="15" t="inlineStr">
        <is>
          <t>Demographic subgroups below a minimum share of the cohort</t>
        </is>
      </c>
      <c r="D18" s="15" t="inlineStr">
        <is>
          <t>&lt; 1%</t>
        </is>
      </c>
      <c r="E18" s="15" t="inlineStr">
        <is>
          <t>—</t>
        </is>
      </c>
    </row>
    <row r="19" ht="15" customHeight="1" s="11">
      <c r="A19" s="15" t="inlineStr">
        <is>
          <t>uncertain_fraction</t>
        </is>
      </c>
      <c r="B19" s="15" t="inlineStr">
        <is>
          <t>Auto-labels</t>
        </is>
      </c>
      <c r="C19" s="15" t="inlineStr">
        <is>
          <t>Share of label-relevant candidates left uncertain, per outcome</t>
        </is>
      </c>
      <c r="D19" s="15" t="inlineStr">
        <is>
          <t>&gt; 40%</t>
        </is>
      </c>
      <c r="E19" s="15" t="inlineStr">
        <is>
          <t>—</t>
        </is>
      </c>
    </row>
    <row r="20" ht="15" customHeight="1" s="11">
      <c r="A20" s="15" t="inlineStr">
        <is>
          <t>lf_conflict</t>
        </is>
      </c>
      <c r="B20" s="15" t="inlineStr">
        <is>
          <t>Auto-labels</t>
        </is>
      </c>
      <c r="C20" s="15" t="inlineStr">
        <is>
          <t>Candidates where labelling functions vote both for and against</t>
        </is>
      </c>
      <c r="D20" s="15" t="inlineStr">
        <is>
          <t>&gt; 25%</t>
        </is>
      </c>
      <c r="E20" s="15" t="inlineStr">
        <is>
          <t>—</t>
        </is>
      </c>
    </row>
    <row r="21" ht="15" customHeight="1" s="11">
      <c r="A21" s="15" t="inlineStr">
        <is>
          <t>lf_coverage</t>
        </is>
      </c>
      <c r="B21" s="15" t="inlineStr">
        <is>
          <t>Auto-labels</t>
        </is>
      </c>
      <c r="C21" s="15" t="inlineStr">
        <is>
          <t>Labelling functions that never fire (missing evidence or codes)</t>
        </is>
      </c>
      <c r="D21" s="15" t="inlineStr">
        <is>
          <t>any</t>
        </is>
      </c>
      <c r="E21" s="15" t="inlineStr">
        <is>
          <t>—</t>
        </is>
      </c>
    </row>
    <row r="22" ht="23.85" customHeight="1" s="11">
      <c r="A22" s="15" t="inlineStr">
        <is>
          <t>prevalence</t>
        </is>
      </c>
      <c r="B22" s="15" t="inlineStr">
        <is>
          <t>Auto-labels</t>
        </is>
      </c>
      <c r="C22" s="15" t="inlineStr">
        <is>
          <t>5-year auto-confirmed incidence outside the expected range: ami 0.3%–8%; stroke 0.3%–8%; hf 0.5%–10%; scd 0.1%–2%; af 0.5%–12%</t>
        </is>
      </c>
      <c r="D22" s="15" t="inlineStr">
        <is>
          <t>outside range</t>
        </is>
      </c>
      <c r="E22" s="15" t="inlineStr">
        <is>
          <t>—</t>
        </is>
      </c>
    </row>
    <row r="23" ht="15" customHeight="1" s="11">
      <c r="A23" s="15" t="inlineStr">
        <is>
          <t>icd_drift</t>
        </is>
      </c>
      <c r="B23" s="15" t="inlineStr">
        <is>
          <t>Coding</t>
        </is>
      </c>
      <c r="C23" s="15" t="inlineStr">
        <is>
          <t>Candidate rate per 1,000 patient-years, ICD-10 era vs ICD-9 era (Oct 2015)</t>
        </is>
      </c>
      <c r="D23" s="15" t="inlineStr">
        <is>
          <t>ratio outside 0.67–1.5</t>
        </is>
      </c>
      <c r="E23" s="15" t="inlineStr">
        <is>
          <t>—</t>
        </is>
      </c>
    </row>
    <row r="24" ht="15" customHeight="1" s="11">
      <c r="A24" s="15" t="inlineStr">
        <is>
          <t>annotation_yield</t>
        </is>
      </c>
      <c r="B24" s="15" t="inlineStr">
        <is>
          <t>Annotation</t>
        </is>
      </c>
      <c r="C24" s="15" t="inlineStr">
        <is>
          <t>Reports mentioning LVEF/CAC where a value was extracted</t>
        </is>
      </c>
      <c r="D24" s="15" t="inlineStr">
        <is>
          <t>&lt; 90%</t>
        </is>
      </c>
      <c r="E24" s="15" t="inlineStr">
        <is>
          <t>—</t>
        </is>
      </c>
    </row>
  </sheetData>
  <autoFilter ref="A2:E24"/>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baseColWidth="8" defaultColWidth="8.6796875" defaultRowHeight="15" zeroHeight="0" outlineLevelRow="0"/>
  <cols>
    <col width="30" customWidth="1" style="10" min="1" max="1"/>
    <col width="60" customWidth="1" style="10" min="2" max="2"/>
    <col width="14" customWidth="1" style="10" min="3" max="3"/>
    <col width="20" customWidth="1" style="10" min="4" max="4"/>
  </cols>
  <sheetData>
    <row r="1" ht="30" customHeight="1" s="11">
      <c r="A1" s="20" t="inlineStr">
        <is>
          <t>Training on Mayo Clinic Platform data requires a release in which every gate passed or was waived.</t>
        </is>
      </c>
    </row>
    <row r="2" ht="15" customHeight="1" s="11">
      <c r="A2" s="14" t="inlineStr">
        <is>
          <t>Gate</t>
        </is>
      </c>
      <c r="B2" s="14" t="inlineStr">
        <is>
          <t>Requirement</t>
        </is>
      </c>
      <c r="C2" s="14" t="inlineStr">
        <is>
          <t>Scope</t>
        </is>
      </c>
      <c r="D2" s="14" t="inlineStr">
        <is>
          <t>Who may waive</t>
        </is>
      </c>
    </row>
    <row r="3" ht="15" customHeight="1" s="11">
      <c r="A3" s="15" t="inlineStr">
        <is>
          <t>Automatic audit resolved</t>
        </is>
      </c>
      <c r="B3" s="15" t="inlineStr">
        <is>
          <t>All warnings acknowledged, all failures waived (written reason) or fixed</t>
        </is>
      </c>
      <c r="C3" s="15" t="inlineStr">
        <is>
          <t>All</t>
        </is>
      </c>
      <c r="D3" s="15" t="inlineStr">
        <is>
          <t>Data scientist</t>
        </is>
      </c>
    </row>
    <row r="4" ht="15" customHeight="1" s="11">
      <c r="A4" s="15" t="inlineStr">
        <is>
          <t>Dataset approved</t>
        </is>
      </c>
      <c r="B4" s="15" t="inlineStr">
        <is>
          <t>Data scientist approval; creates the adjudication sample</t>
        </is>
      </c>
      <c r="C4" s="15" t="inlineStr">
        <is>
          <t>All</t>
        </is>
      </c>
      <c r="D4" s="15" t="inlineStr">
        <is>
          <t>—</t>
        </is>
      </c>
    </row>
    <row r="5" ht="15" customHeight="1" s="11">
      <c r="A5" s="15" t="inlineStr">
        <is>
          <t>All cases final</t>
        </is>
      </c>
      <c r="B5" s="15" t="inlineStr">
        <is>
          <t>No open reads or unresolved disagreements</t>
        </is>
      </c>
      <c r="C5" s="15" t="inlineStr">
        <is>
          <t>All</t>
        </is>
      </c>
      <c r="D5" s="15" t="inlineStr">
        <is>
          <t>—</t>
        </is>
      </c>
    </row>
    <row r="6" ht="15" customHeight="1" s="11">
      <c r="A6" s="15" t="inlineStr">
        <is>
          <t>Inter-reader agreement</t>
        </is>
      </c>
      <c r="B6" s="15" t="inlineStr">
        <is>
          <t>Cohen's κ ≥ 0.6 on ≥10 double reads</t>
        </is>
      </c>
      <c r="C6" s="15" t="inlineStr">
        <is>
          <t>Per outcome</t>
        </is>
      </c>
      <c r="D6" s="15" t="inlineStr">
        <is>
          <t>Lead cardiologist</t>
        </is>
      </c>
    </row>
    <row r="7" ht="15" customHeight="1" s="11">
      <c r="A7" s="15" t="inlineStr">
        <is>
          <t>PPV of auto-confirmed labels</t>
        </is>
      </c>
      <c r="B7" s="15" t="inlineStr">
        <is>
          <t>≥ 85% on 50 random cases</t>
        </is>
      </c>
      <c r="C7" s="15" t="inlineStr">
        <is>
          <t>Per outcome</t>
        </is>
      </c>
      <c r="D7" s="15" t="inlineStr">
        <is>
          <t>Lead cardiologist</t>
        </is>
      </c>
    </row>
    <row r="8" ht="15" customHeight="1" s="11">
      <c r="A8" s="15" t="inlineStr">
        <is>
          <t>NPV of auto-rejected labels</t>
        </is>
      </c>
      <c r="B8" s="15" t="inlineStr">
        <is>
          <t>≥ 85% on 50 random cases</t>
        </is>
      </c>
      <c r="C8" s="15" t="inlineStr">
        <is>
          <t>Per outcome</t>
        </is>
      </c>
      <c r="D8" s="15" t="inlineStr">
        <is>
          <t>Lead cardiologist</t>
        </is>
      </c>
    </row>
    <row r="9" ht="15" customHeight="1" s="11">
      <c r="A9" s="15" t="inlineStr">
        <is>
          <t>Indeterminate cases</t>
        </is>
      </c>
      <c r="B9" s="15" t="inlineStr">
        <is>
          <t>≤ 15% of final cases</t>
        </is>
      </c>
      <c r="C9" s="15" t="inlineStr">
        <is>
          <t>Per outcome</t>
        </is>
      </c>
      <c r="D9" s="15" t="inlineStr">
        <is>
          <t>Lead cardiologist</t>
        </is>
      </c>
    </row>
    <row r="10" ht="15" customHeight="1" s="11">
      <c r="A10" s="15" t="inlineStr">
        <is>
          <t>LVEF / CAC extraction accuracy</t>
        </is>
      </c>
      <c r="B10" s="15" t="inlineStr">
        <is>
          <t>≥ 90% (weighted)</t>
        </is>
      </c>
      <c r="C10" s="15" t="inlineStr">
        <is>
          <t>Per field</t>
        </is>
      </c>
      <c r="D10" s="15" t="inlineStr">
        <is>
          <t>Data scientist</t>
        </is>
      </c>
    </row>
    <row r="11" ht="15" customHeight="1" s="11">
      <c r="A11" s="15" t="inlineStr">
        <is>
          <t>Audit trail intact</t>
        </is>
      </c>
      <c r="B11" s="15" t="inlineStr">
        <is>
          <t>Hash chain verifies end to end</t>
        </is>
      </c>
      <c r="C11" s="15" t="inlineStr">
        <is>
          <t>All</t>
        </is>
      </c>
      <c r="D11" s="15" t="inlineStr">
        <is>
          <t>Cannot be waived</t>
        </is>
      </c>
    </row>
    <row r="12" ht="15" customHeight="1" s="11">
      <c r="A12" s="15" t="inlineStr">
        <is>
          <t>Release sign-offs</t>
        </is>
      </c>
      <c r="B12" s="15" t="inlineStr">
        <is>
          <t>Data scientist + lead cardiologist, two different people</t>
        </is>
      </c>
      <c r="C12" s="15" t="inlineStr">
        <is>
          <t>All</t>
        </is>
      </c>
      <c r="D12" s="15" t="inlineStr">
        <is>
          <t>Cannot be waived</t>
        </is>
      </c>
    </row>
  </sheetData>
  <autoFilter ref="A2:D12"/>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L32"/>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baseColWidth="8" defaultColWidth="8.6796875" defaultRowHeight="15" zeroHeight="0" outlineLevelRow="0"/>
  <cols>
    <col width="13" customWidth="1" style="10" min="1" max="1"/>
    <col width="18" customWidth="1" style="10" min="2" max="2"/>
    <col width="9" customWidth="1" style="10" min="3" max="3"/>
    <col width="12" customWidth="1" style="10" min="4" max="4"/>
    <col width="11" customWidth="1" style="10" min="5" max="6"/>
    <col width="9" customWidth="1" style="10" min="7" max="7"/>
    <col width="11" customWidth="1" style="10" min="8" max="8"/>
    <col width="12" customWidth="1" style="10" min="9" max="11"/>
    <col width="30" customWidth="1" style="10" min="12" max="12"/>
  </cols>
  <sheetData>
    <row r="1" ht="30" customHeight="1" s="11">
      <c r="A1" s="20" t="inlineStr">
        <is>
          <t>SYNTHETIC DATA WITH SIMULATED ADJUDICATION: pipeline test only, not evidence of clinical performance. Real figures come from VALIDATION_REPORT.md after training on the Mayo Clinic Platform release. 'Meets target' = CI lower bound ≥ target.</t>
        </is>
      </c>
    </row>
    <row r="2" ht="35.05" customHeight="1" s="11">
      <c r="A2" s="14" t="inlineStr">
        <is>
          <t>Calculator</t>
        </is>
      </c>
      <c r="B2" s="14" t="inlineStr">
        <is>
          <t>Endpoint</t>
        </is>
      </c>
      <c r="C2" s="14" t="inlineStr">
        <is>
          <t>Horizon</t>
        </is>
      </c>
      <c r="D2" s="14" t="inlineStr">
        <is>
          <t>Hold-out C-statistic</t>
        </is>
      </c>
      <c r="E2" s="14" t="inlineStr">
        <is>
          <t>95% CI low</t>
        </is>
      </c>
      <c r="F2" s="14" t="inlineStr">
        <is>
          <t>95% CI high</t>
        </is>
      </c>
      <c r="G2" s="14" t="inlineStr">
        <is>
          <t>Target</t>
        </is>
      </c>
      <c r="H2" s="14" t="inlineStr">
        <is>
          <t>Meets target</t>
        </is>
      </c>
      <c r="I2" s="14" t="inlineStr">
        <is>
          <t>Calibration slope</t>
        </is>
      </c>
      <c r="J2" s="14" t="inlineStr">
        <is>
          <t>Expected / observed</t>
        </is>
      </c>
      <c r="K2" s="14" t="inlineStr">
        <is>
          <t>Test patients</t>
        </is>
      </c>
      <c r="L2" s="14" t="inlineStr">
        <is>
          <t>Test events / note</t>
        </is>
      </c>
    </row>
    <row r="3" ht="15" customHeight="1" s="11">
      <c r="A3" s="15" t="inlineStr">
        <is>
          <t>AMI</t>
        </is>
      </c>
      <c r="B3" s="15" t="inlineStr">
        <is>
          <t>ami</t>
        </is>
      </c>
      <c r="C3" s="15" t="inlineStr">
        <is>
          <t>30d</t>
        </is>
      </c>
      <c r="D3" s="22" t="n">
        <v>0.737</v>
      </c>
      <c r="E3" s="22" t="n">
        <v>0.643</v>
      </c>
      <c r="F3" s="22" t="n">
        <v>0.839</v>
      </c>
      <c r="G3" s="22" t="n">
        <v>0.82</v>
      </c>
      <c r="H3" s="15">
        <f>IF(D3="","not trained",IF(E3&gt;=G3,"Yes","No"))</f>
        <v/>
      </c>
      <c r="I3" s="15" t="n">
        <v>0.98</v>
      </c>
      <c r="J3" s="15" t="n">
        <v>1</v>
      </c>
      <c r="K3" s="23" t="n">
        <v>12000</v>
      </c>
      <c r="L3" s="15" t="n">
        <v>26</v>
      </c>
    </row>
    <row r="4" ht="15" customHeight="1" s="11">
      <c r="A4" s="15" t="inlineStr">
        <is>
          <t>AMI</t>
        </is>
      </c>
      <c r="B4" s="15" t="inlineStr">
        <is>
          <t>ami</t>
        </is>
      </c>
      <c r="C4" s="15" t="inlineStr">
        <is>
          <t>1y</t>
        </is>
      </c>
      <c r="D4" s="22" t="n">
        <v>0.82</v>
      </c>
      <c r="E4" s="22" t="n">
        <v>0.789</v>
      </c>
      <c r="F4" s="22" t="n">
        <v>0.847</v>
      </c>
      <c r="G4" s="22" t="n">
        <v>0.82</v>
      </c>
      <c r="H4" s="15">
        <f>IF(D4="","not trained",IF(E4&gt;=G4,"Yes","No"))</f>
        <v/>
      </c>
      <c r="I4" s="15" t="n">
        <v>0.97</v>
      </c>
      <c r="J4" s="15" t="n">
        <v>1.04</v>
      </c>
      <c r="K4" s="23" t="n">
        <v>11351</v>
      </c>
      <c r="L4" s="15" t="n">
        <v>254</v>
      </c>
    </row>
    <row r="5" ht="15" customHeight="1" s="11">
      <c r="A5" s="15" t="inlineStr">
        <is>
          <t>AMI</t>
        </is>
      </c>
      <c r="B5" s="15" t="inlineStr">
        <is>
          <t>ami</t>
        </is>
      </c>
      <c r="C5" s="15" t="inlineStr">
        <is>
          <t>5y</t>
        </is>
      </c>
      <c r="D5" s="22" t="n">
        <v>0.8120000000000001</v>
      </c>
      <c r="E5" s="22" t="n">
        <v>0.794</v>
      </c>
      <c r="F5" s="22" t="n">
        <v>0.828</v>
      </c>
      <c r="G5" s="22" t="n">
        <v>0.82</v>
      </c>
      <c r="H5" s="15">
        <f>IF(D5="","not trained",IF(E5&gt;=G5,"Yes","No"))</f>
        <v/>
      </c>
      <c r="I5" s="15" t="n">
        <v>1.04</v>
      </c>
      <c r="J5" s="15" t="n">
        <v>1.06</v>
      </c>
      <c r="K5" s="23" t="n">
        <v>6928</v>
      </c>
      <c r="L5" s="15" t="n">
        <v>800</v>
      </c>
    </row>
    <row r="6" ht="15" customHeight="1" s="11">
      <c r="A6" s="15" t="inlineStr">
        <is>
          <t>Stroke</t>
        </is>
      </c>
      <c r="B6" s="15" t="inlineStr">
        <is>
          <t>any_stroke</t>
        </is>
      </c>
      <c r="C6" s="15" t="inlineStr">
        <is>
          <t>1y</t>
        </is>
      </c>
      <c r="D6" s="22" t="n">
        <v>0.751</v>
      </c>
      <c r="E6" s="22" t="n">
        <v>0.71</v>
      </c>
      <c r="F6" s="22" t="n">
        <v>0.796</v>
      </c>
      <c r="G6" s="22" t="n">
        <v>0.75</v>
      </c>
      <c r="H6" s="15">
        <f>IF(D6="","not trained",IF(E6&gt;=G6,"Yes","No"))</f>
        <v/>
      </c>
      <c r="I6" s="15" t="n">
        <v>0.89</v>
      </c>
      <c r="J6" s="15" t="n">
        <v>1.03</v>
      </c>
      <c r="K6" s="23" t="n">
        <v>11342</v>
      </c>
      <c r="L6" s="15" t="n">
        <v>144</v>
      </c>
    </row>
    <row r="7" ht="15" customHeight="1" s="11">
      <c r="A7" s="15" t="inlineStr">
        <is>
          <t>Stroke</t>
        </is>
      </c>
      <c r="B7" s="15" t="inlineStr">
        <is>
          <t>any_stroke</t>
        </is>
      </c>
      <c r="C7" s="15" t="inlineStr">
        <is>
          <t>5y</t>
        </is>
      </c>
      <c r="D7" s="22" t="n">
        <v>0.747</v>
      </c>
      <c r="E7" s="22" t="n">
        <v>0.727</v>
      </c>
      <c r="F7" s="22" t="n">
        <v>0.767</v>
      </c>
      <c r="G7" s="22" t="n">
        <v>0.75</v>
      </c>
      <c r="H7" s="15">
        <f>IF(D7="","not trained",IF(E7&gt;=G7,"Yes","No"))</f>
        <v/>
      </c>
      <c r="I7" s="15" t="n">
        <v>0.88</v>
      </c>
      <c r="J7" s="15" t="n">
        <v>1.01</v>
      </c>
      <c r="K7" s="23" t="n">
        <v>6815</v>
      </c>
      <c r="L7" s="15" t="n">
        <v>531</v>
      </c>
    </row>
    <row r="8" ht="15" customHeight="1" s="11">
      <c r="A8" s="15" t="inlineStr">
        <is>
          <t>Stroke</t>
        </is>
      </c>
      <c r="B8" s="15" t="inlineStr">
        <is>
          <t>ischemic_stroke</t>
        </is>
      </c>
      <c r="C8" s="15" t="inlineStr">
        <is>
          <t>1y</t>
        </is>
      </c>
      <c r="D8" s="22" t="n">
        <v>0.735</v>
      </c>
      <c r="E8" s="22" t="n">
        <v>0.697</v>
      </c>
      <c r="F8" s="22" t="n">
        <v>0.777</v>
      </c>
      <c r="G8" s="22" t="n">
        <v>0.75</v>
      </c>
      <c r="H8" s="15">
        <f>IF(D8="","not trained",IF(E8&gt;=G8,"Yes","No"))</f>
        <v/>
      </c>
      <c r="I8" s="15" t="n">
        <v>0.79</v>
      </c>
      <c r="J8" s="15" t="n">
        <v>1.02</v>
      </c>
      <c r="K8" s="23" t="n">
        <v>11341</v>
      </c>
      <c r="L8" s="15" t="n">
        <v>111</v>
      </c>
    </row>
    <row r="9" ht="15" customHeight="1" s="11">
      <c r="A9" s="15" t="inlineStr">
        <is>
          <t>Stroke</t>
        </is>
      </c>
      <c r="B9" s="15" t="inlineStr">
        <is>
          <t>ischemic_stroke</t>
        </is>
      </c>
      <c r="C9" s="15" t="inlineStr">
        <is>
          <t>5y</t>
        </is>
      </c>
      <c r="D9" s="22" t="n">
        <v>0.74</v>
      </c>
      <c r="E9" s="22" t="n">
        <v>0.72</v>
      </c>
      <c r="F9" s="22" t="n">
        <v>0.768</v>
      </c>
      <c r="G9" s="22" t="n">
        <v>0.75</v>
      </c>
      <c r="H9" s="15">
        <f>IF(D9="","not trained",IF(E9&gt;=G9,"Yes","No"))</f>
        <v/>
      </c>
      <c r="I9" s="15" t="n">
        <v>0.86</v>
      </c>
      <c r="J9" s="15" t="n">
        <v>0.98</v>
      </c>
      <c r="K9" s="23" t="n">
        <v>6775</v>
      </c>
      <c r="L9" s="15" t="n">
        <v>405</v>
      </c>
    </row>
    <row r="10" ht="15" customHeight="1" s="11">
      <c r="A10" s="15" t="inlineStr">
        <is>
          <t>Stroke</t>
        </is>
      </c>
      <c r="B10" s="15" t="inlineStr">
        <is>
          <t>hemorrhagic_stroke</t>
        </is>
      </c>
      <c r="C10" s="15" t="inlineStr">
        <is>
          <t>5y</t>
        </is>
      </c>
      <c r="D10" s="22" t="n">
        <v>0.696</v>
      </c>
      <c r="E10" s="22" t="n">
        <v>0.593</v>
      </c>
      <c r="F10" s="22" t="n">
        <v>0.779</v>
      </c>
      <c r="G10" s="22" t="n">
        <v>0.75</v>
      </c>
      <c r="H10" s="15">
        <f>IF(D10="","not trained",IF(E10&gt;=G10,"Yes","No"))</f>
        <v/>
      </c>
      <c r="I10" s="15" t="n">
        <v>0.99</v>
      </c>
      <c r="J10" s="15" t="n">
        <v>1.09</v>
      </c>
      <c r="K10" s="23" t="n">
        <v>6650</v>
      </c>
      <c r="L10" s="15" t="n">
        <v>28</v>
      </c>
    </row>
    <row r="11" ht="15" customHeight="1" s="11">
      <c r="A11" s="15" t="inlineStr">
        <is>
          <t>Stroke</t>
        </is>
      </c>
      <c r="B11" s="15" t="inlineStr">
        <is>
          <t>tia</t>
        </is>
      </c>
      <c r="C11" s="15" t="inlineStr">
        <is>
          <t>1y</t>
        </is>
      </c>
      <c r="D11" s="22" t="n">
        <v>0.735</v>
      </c>
      <c r="E11" s="22" t="n">
        <v>0.629</v>
      </c>
      <c r="F11" s="22" t="n">
        <v>0.858</v>
      </c>
      <c r="G11" s="22" t="n">
        <v>0.75</v>
      </c>
      <c r="H11" s="15">
        <f>IF(D11="","not trained",IF(E11&gt;=G11,"Yes","No"))</f>
        <v/>
      </c>
      <c r="I11" s="15" t="n">
        <v>1</v>
      </c>
      <c r="J11" s="15" t="n">
        <v>1.16</v>
      </c>
      <c r="K11" s="23" t="n">
        <v>11337</v>
      </c>
      <c r="L11" s="15" t="n">
        <v>24</v>
      </c>
    </row>
    <row r="12" ht="15" customHeight="1" s="11">
      <c r="A12" s="15" t="inlineStr">
        <is>
          <t>Stroke</t>
        </is>
      </c>
      <c r="B12" s="15" t="inlineStr">
        <is>
          <t>tia</t>
        </is>
      </c>
      <c r="C12" s="15" t="inlineStr">
        <is>
          <t>5y</t>
        </is>
      </c>
      <c r="D12" s="22" t="n">
        <v>0.6889999999999999</v>
      </c>
      <c r="E12" s="22" t="n">
        <v>0.637</v>
      </c>
      <c r="F12" s="22" t="n">
        <v>0.729</v>
      </c>
      <c r="G12" s="22" t="n">
        <v>0.75</v>
      </c>
      <c r="H12" s="15">
        <f>IF(D12="","not trained",IF(E12&gt;=G12,"Yes","No"))</f>
        <v/>
      </c>
      <c r="I12" s="15" t="n">
        <v>1.27</v>
      </c>
      <c r="J12" s="15" t="n">
        <v>1.1</v>
      </c>
      <c r="K12" s="23" t="n">
        <v>6676</v>
      </c>
      <c r="L12" s="15" t="n">
        <v>98</v>
      </c>
    </row>
    <row r="13" ht="15" customHeight="1" s="11">
      <c r="A13" s="15" t="inlineStr">
        <is>
          <t>Heart failure</t>
        </is>
      </c>
      <c r="B13" s="15" t="inlineStr">
        <is>
          <t>hf</t>
        </is>
      </c>
      <c r="C13" s="15" t="inlineStr">
        <is>
          <t>30d</t>
        </is>
      </c>
      <c r="D13" s="22" t="n">
        <v>0.919</v>
      </c>
      <c r="E13" s="22" t="n">
        <v>0.878</v>
      </c>
      <c r="F13" s="22" t="n">
        <v>0.954</v>
      </c>
      <c r="G13" s="22" t="n">
        <v>0.8</v>
      </c>
      <c r="H13" s="15">
        <f>IF(D13="","not trained",IF(E13&gt;=G13,"Yes","No"))</f>
        <v/>
      </c>
      <c r="I13" s="15" t="n">
        <v>1.18</v>
      </c>
      <c r="J13" s="15" t="n">
        <v>0.8</v>
      </c>
      <c r="K13" s="23" t="n">
        <v>12000</v>
      </c>
      <c r="L13" s="15" t="n">
        <v>34</v>
      </c>
    </row>
    <row r="14" ht="15" customHeight="1" s="11">
      <c r="A14" s="15" t="inlineStr">
        <is>
          <t>Heart failure</t>
        </is>
      </c>
      <c r="B14" s="15" t="inlineStr">
        <is>
          <t>hf</t>
        </is>
      </c>
      <c r="C14" s="15" t="inlineStr">
        <is>
          <t>1y</t>
        </is>
      </c>
      <c r="D14" s="22" t="n">
        <v>0.876</v>
      </c>
      <c r="E14" s="22" t="n">
        <v>0.857</v>
      </c>
      <c r="F14" s="22" t="n">
        <v>0.894</v>
      </c>
      <c r="G14" s="22" t="n">
        <v>0.8</v>
      </c>
      <c r="H14" s="15">
        <f>IF(D14="","not trained",IF(E14&gt;=G14,"Yes","No"))</f>
        <v/>
      </c>
      <c r="I14" s="15" t="n">
        <v>1.02</v>
      </c>
      <c r="J14" s="15" t="n">
        <v>0.96</v>
      </c>
      <c r="K14" s="23" t="n">
        <v>11347</v>
      </c>
      <c r="L14" s="15" t="n">
        <v>313</v>
      </c>
    </row>
    <row r="15" ht="15" customHeight="1" s="11">
      <c r="A15" s="15" t="inlineStr">
        <is>
          <t>Heart failure</t>
        </is>
      </c>
      <c r="B15" s="15" t="inlineStr">
        <is>
          <t>hf</t>
        </is>
      </c>
      <c r="C15" s="15" t="inlineStr">
        <is>
          <t>5y</t>
        </is>
      </c>
      <c r="D15" s="22" t="n">
        <v>0.845</v>
      </c>
      <c r="E15" s="22" t="n">
        <v>0.828</v>
      </c>
      <c r="F15" s="22" t="n">
        <v>0.859</v>
      </c>
      <c r="G15" s="22" t="n">
        <v>0.8</v>
      </c>
      <c r="H15" s="15">
        <f>IF(D15="","not trained",IF(E15&gt;=G15,"Yes","No"))</f>
        <v/>
      </c>
      <c r="I15" s="15" t="n">
        <v>0.98</v>
      </c>
      <c r="J15" s="15" t="n">
        <v>0.99</v>
      </c>
      <c r="K15" s="23" t="n">
        <v>6903</v>
      </c>
      <c r="L15" s="15" t="n">
        <v>843</v>
      </c>
    </row>
    <row r="16" ht="15" customHeight="1" s="11">
      <c r="A16" s="15" t="inlineStr">
        <is>
          <t>Heart failure</t>
        </is>
      </c>
      <c r="B16" s="15" t="inlineStr">
        <is>
          <t>hfref</t>
        </is>
      </c>
      <c r="C16" s="15" t="inlineStr">
        <is>
          <t>30d</t>
        </is>
      </c>
      <c r="D16" s="22" t="n">
        <v>0.894</v>
      </c>
      <c r="E16" s="22" t="n">
        <v>0.821</v>
      </c>
      <c r="F16" s="22" t="n">
        <v>0.959</v>
      </c>
      <c r="G16" s="22" t="n">
        <v>0.8</v>
      </c>
      <c r="H16" s="15">
        <f>IF(D16="","not trained",IF(E16&gt;=G16,"Yes","No"))</f>
        <v/>
      </c>
      <c r="I16" s="15" t="n">
        <v>1.13</v>
      </c>
      <c r="J16" s="15" t="n">
        <v>0.72</v>
      </c>
      <c r="K16" s="23" t="n">
        <v>11998</v>
      </c>
      <c r="L16" s="15" t="n">
        <v>23</v>
      </c>
    </row>
    <row r="17" ht="15" customHeight="1" s="11">
      <c r="A17" s="15" t="inlineStr">
        <is>
          <t>Heart failure</t>
        </is>
      </c>
      <c r="B17" s="15" t="inlineStr">
        <is>
          <t>hfref</t>
        </is>
      </c>
      <c r="C17" s="15" t="inlineStr">
        <is>
          <t>1y</t>
        </is>
      </c>
      <c r="D17" s="22" t="n">
        <v>0.903</v>
      </c>
      <c r="E17" s="22" t="n">
        <v>0.879</v>
      </c>
      <c r="F17" s="22" t="n">
        <v>0.924</v>
      </c>
      <c r="G17" s="22" t="n">
        <v>0.8</v>
      </c>
      <c r="H17" s="15">
        <f>IF(D17="","not trained",IF(E17&gt;=G17,"Yes","No"))</f>
        <v/>
      </c>
      <c r="I17" s="15" t="n">
        <v>1.1</v>
      </c>
      <c r="J17" s="15" t="n">
        <v>0.97</v>
      </c>
      <c r="K17" s="23" t="n">
        <v>11327</v>
      </c>
      <c r="L17" s="15" t="n">
        <v>177</v>
      </c>
    </row>
    <row r="18" ht="15" customHeight="1" s="11">
      <c r="A18" s="15" t="inlineStr">
        <is>
          <t>Heart failure</t>
        </is>
      </c>
      <c r="B18" s="15" t="inlineStr">
        <is>
          <t>hfref</t>
        </is>
      </c>
      <c r="C18" s="15" t="inlineStr">
        <is>
          <t>5y</t>
        </is>
      </c>
      <c r="D18" s="22" t="n">
        <v>0.863</v>
      </c>
      <c r="E18" s="22" t="n">
        <v>0.844</v>
      </c>
      <c r="F18" s="22" t="n">
        <v>0.882</v>
      </c>
      <c r="G18" s="22" t="n">
        <v>0.8</v>
      </c>
      <c r="H18" s="15">
        <f>IF(D18="","not trained",IF(E18&gt;=G18,"Yes","No"))</f>
        <v/>
      </c>
      <c r="I18" s="15" t="n">
        <v>1</v>
      </c>
      <c r="J18" s="15" t="n">
        <v>0.98</v>
      </c>
      <c r="K18" s="23" t="n">
        <v>6760</v>
      </c>
      <c r="L18" s="15" t="n">
        <v>455</v>
      </c>
    </row>
    <row r="19" ht="15" customHeight="1" s="11">
      <c r="A19" s="15" t="inlineStr">
        <is>
          <t>Heart failure</t>
        </is>
      </c>
      <c r="B19" s="15" t="inlineStr">
        <is>
          <t>hfpef</t>
        </is>
      </c>
      <c r="C19" s="15" t="inlineStr">
        <is>
          <t>1y</t>
        </is>
      </c>
      <c r="D19" s="22" t="n">
        <v>0.793</v>
      </c>
      <c r="E19" s="22" t="n">
        <v>0.744</v>
      </c>
      <c r="F19" s="22" t="n">
        <v>0.834</v>
      </c>
      <c r="G19" s="22" t="n">
        <v>0.8</v>
      </c>
      <c r="H19" s="15">
        <f>IF(D19="","not trained",IF(E19&gt;=G19,"Yes","No"))</f>
        <v/>
      </c>
      <c r="I19" s="15" t="n">
        <v>1.09</v>
      </c>
      <c r="J19" s="15" t="n">
        <v>0.97</v>
      </c>
      <c r="K19" s="23" t="n">
        <v>11325</v>
      </c>
      <c r="L19" s="15" t="n">
        <v>91</v>
      </c>
    </row>
    <row r="20" ht="15" customHeight="1" s="11">
      <c r="A20" s="15" t="inlineStr">
        <is>
          <t>Heart failure</t>
        </is>
      </c>
      <c r="B20" s="15" t="inlineStr">
        <is>
          <t>hfpef</t>
        </is>
      </c>
      <c r="C20" s="15" t="inlineStr">
        <is>
          <t>5y</t>
        </is>
      </c>
      <c r="D20" s="22" t="n">
        <v>0.777</v>
      </c>
      <c r="E20" s="22" t="n">
        <v>0.751</v>
      </c>
      <c r="F20" s="22" t="n">
        <v>0.805</v>
      </c>
      <c r="G20" s="22" t="n">
        <v>0.8</v>
      </c>
      <c r="H20" s="15">
        <f>IF(D20="","not trained",IF(E20&gt;=G20,"Yes","No"))</f>
        <v/>
      </c>
      <c r="I20" s="15" t="n">
        <v>0.97</v>
      </c>
      <c r="J20" s="15" t="n">
        <v>0.98</v>
      </c>
      <c r="K20" s="23" t="n">
        <v>6703</v>
      </c>
      <c r="L20" s="15" t="n">
        <v>289</v>
      </c>
    </row>
    <row r="21" ht="15" customHeight="1" s="11">
      <c r="A21" s="15" t="inlineStr">
        <is>
          <t>SCD</t>
        </is>
      </c>
      <c r="B21" s="15" t="inlineStr">
        <is>
          <t>scd</t>
        </is>
      </c>
      <c r="C21" s="15" t="inlineStr">
        <is>
          <t>1y</t>
        </is>
      </c>
      <c r="D21" s="22" t="n">
        <v>0.841</v>
      </c>
      <c r="E21" s="22" t="n">
        <v>0.774</v>
      </c>
      <c r="F21" s="22" t="n">
        <v>0.889</v>
      </c>
      <c r="G21" s="22" t="n">
        <v>0.78</v>
      </c>
      <c r="H21" s="15">
        <f>IF(D21="","not trained",IF(E21&gt;=G21,"Yes","No"))</f>
        <v/>
      </c>
      <c r="I21" s="15" t="n">
        <v>1.15</v>
      </c>
      <c r="J21" s="15" t="n">
        <v>0.99</v>
      </c>
      <c r="K21" s="23" t="n">
        <v>11345</v>
      </c>
      <c r="L21" s="15" t="n">
        <v>46</v>
      </c>
    </row>
    <row r="22" ht="15" customHeight="1" s="11">
      <c r="A22" s="15" t="inlineStr">
        <is>
          <t>SCD</t>
        </is>
      </c>
      <c r="B22" s="15" t="inlineStr">
        <is>
          <t>scd</t>
        </is>
      </c>
      <c r="C22" s="15" t="inlineStr">
        <is>
          <t>5y</t>
        </is>
      </c>
      <c r="D22" s="22" t="n">
        <v>0.782</v>
      </c>
      <c r="E22" s="22" t="n">
        <v>0.745</v>
      </c>
      <c r="F22" s="22" t="n">
        <v>0.824</v>
      </c>
      <c r="G22" s="22" t="n">
        <v>0.78</v>
      </c>
      <c r="H22" s="15">
        <f>IF(D22="","not trained",IF(E22&gt;=G22,"Yes","No"))</f>
        <v/>
      </c>
      <c r="I22" s="15" t="n">
        <v>0.96</v>
      </c>
      <c r="J22" s="15" t="n">
        <v>1.02</v>
      </c>
      <c r="K22" s="23" t="n">
        <v>6708</v>
      </c>
      <c r="L22" s="15" t="n">
        <v>150</v>
      </c>
    </row>
    <row r="23" ht="15" customHeight="1" s="11">
      <c r="A23" s="15" t="inlineStr">
        <is>
          <t>AF</t>
        </is>
      </c>
      <c r="B23" s="15" t="inlineStr">
        <is>
          <t>af</t>
        </is>
      </c>
      <c r="C23" s="15" t="inlineStr">
        <is>
          <t>30d</t>
        </is>
      </c>
      <c r="D23" s="22" t="n">
        <v>0.757</v>
      </c>
      <c r="E23" s="22" t="n">
        <v>0.628</v>
      </c>
      <c r="F23" s="22" t="n">
        <v>0.877</v>
      </c>
      <c r="G23" s="22" t="n">
        <v>0.8</v>
      </c>
      <c r="H23" s="15">
        <f>IF(D23="","not trained",IF(E23&gt;=G23,"Yes","No"))</f>
        <v/>
      </c>
      <c r="I23" s="15" t="n">
        <v>1.03</v>
      </c>
      <c r="J23" s="15" t="n">
        <v>1.34</v>
      </c>
      <c r="K23" s="23" t="n">
        <v>11567</v>
      </c>
      <c r="L23" s="15" t="n">
        <v>20</v>
      </c>
    </row>
    <row r="24" ht="15" customHeight="1" s="11">
      <c r="A24" s="15" t="inlineStr">
        <is>
          <t>AF</t>
        </is>
      </c>
      <c r="B24" s="15" t="inlineStr">
        <is>
          <t>af</t>
        </is>
      </c>
      <c r="C24" s="15" t="inlineStr">
        <is>
          <t>1y</t>
        </is>
      </c>
      <c r="D24" s="22" t="n">
        <v>0.8149999999999999</v>
      </c>
      <c r="E24" s="22" t="n">
        <v>0.789</v>
      </c>
      <c r="F24" s="22" t="n">
        <v>0.837</v>
      </c>
      <c r="G24" s="22" t="n">
        <v>0.8</v>
      </c>
      <c r="H24" s="15">
        <f>IF(D24="","not trained",IF(E24&gt;=G24,"Yes","No"))</f>
        <v/>
      </c>
      <c r="I24" s="15" t="n">
        <v>1.07</v>
      </c>
      <c r="J24" s="15" t="n">
        <v>0.99</v>
      </c>
      <c r="K24" s="23" t="n">
        <v>10925</v>
      </c>
      <c r="L24" s="15" t="n">
        <v>297</v>
      </c>
    </row>
    <row r="25" ht="15" customHeight="1" s="11">
      <c r="A25" s="15" t="inlineStr">
        <is>
          <t>AF</t>
        </is>
      </c>
      <c r="B25" s="15" t="inlineStr">
        <is>
          <t>af</t>
        </is>
      </c>
      <c r="C25" s="15" t="inlineStr">
        <is>
          <t>5y</t>
        </is>
      </c>
      <c r="D25" s="22" t="n">
        <v>0.801</v>
      </c>
      <c r="E25" s="22" t="n">
        <v>0.79</v>
      </c>
      <c r="F25" s="22" t="n">
        <v>0.8169999999999999</v>
      </c>
      <c r="G25" s="22" t="n">
        <v>0.8</v>
      </c>
      <c r="H25" s="15">
        <f>IF(D25="","not trained",IF(E25&gt;=G25,"Yes","No"))</f>
        <v/>
      </c>
      <c r="I25" s="15" t="n">
        <v>1.02</v>
      </c>
      <c r="J25" s="15" t="n">
        <v>0.98</v>
      </c>
      <c r="K25" s="23" t="n">
        <v>6677</v>
      </c>
      <c r="L25" s="15" t="n">
        <v>959</v>
      </c>
    </row>
    <row r="26" ht="23.85" customHeight="1" s="11">
      <c r="A26" s="15" t="inlineStr">
        <is>
          <t>Stroke</t>
        </is>
      </c>
      <c r="B26" s="15" t="inlineStr">
        <is>
          <t>any_stroke</t>
        </is>
      </c>
      <c r="C26" s="15" t="inlineStr">
        <is>
          <t>30d</t>
        </is>
      </c>
      <c r="D26" s="22" t="n"/>
      <c r="E26" s="22" t="n"/>
      <c r="F26" s="22" t="n"/>
      <c r="G26" s="22" t="n">
        <v>0.75</v>
      </c>
      <c r="H26" s="15">
        <f>IF(D26="","not trained",IF(E26&gt;=G26,"Yes","No"))</f>
        <v/>
      </c>
      <c r="I26" s="15" t="n"/>
      <c r="J26" s="15" t="n"/>
      <c r="K26" s="23" t="n"/>
      <c r="L26" s="15" t="inlineStr">
        <is>
          <t>insufficient events (train 52, test &lt;11)</t>
        </is>
      </c>
    </row>
    <row r="27" ht="23.85" customHeight="1" s="11">
      <c r="A27" s="15" t="inlineStr">
        <is>
          <t>Stroke</t>
        </is>
      </c>
      <c r="B27" s="15" t="inlineStr">
        <is>
          <t>ischemic_stroke</t>
        </is>
      </c>
      <c r="C27" s="15" t="inlineStr">
        <is>
          <t>30d</t>
        </is>
      </c>
      <c r="D27" s="22" t="n"/>
      <c r="E27" s="22" t="n"/>
      <c r="F27" s="22" t="n"/>
      <c r="G27" s="22" t="n">
        <v>0.75</v>
      </c>
      <c r="H27" s="15">
        <f>IF(D27="","not trained",IF(E27&gt;=G27,"Yes","No"))</f>
        <v/>
      </c>
      <c r="I27" s="15" t="n"/>
      <c r="J27" s="15" t="n"/>
      <c r="K27" s="23" t="n"/>
      <c r="L27" s="15" t="inlineStr">
        <is>
          <t>insufficient events (train 41, test &lt;11)</t>
        </is>
      </c>
    </row>
    <row r="28" ht="23.85" customHeight="1" s="11">
      <c r="A28" s="15" t="inlineStr">
        <is>
          <t>Stroke</t>
        </is>
      </c>
      <c r="B28" s="15" t="inlineStr">
        <is>
          <t>hemorrhagic_stroke</t>
        </is>
      </c>
      <c r="C28" s="15" t="inlineStr">
        <is>
          <t>30d</t>
        </is>
      </c>
      <c r="D28" s="22" t="n"/>
      <c r="E28" s="22" t="n"/>
      <c r="F28" s="22" t="n"/>
      <c r="G28" s="22" t="n">
        <v>0.75</v>
      </c>
      <c r="H28" s="15">
        <f>IF(D28="","not trained",IF(E28&gt;=G28,"Yes","No"))</f>
        <v/>
      </c>
      <c r="I28" s="15" t="n"/>
      <c r="J28" s="15" t="n"/>
      <c r="K28" s="23" t="n"/>
      <c r="L28" s="15" t="inlineStr">
        <is>
          <t>insufficient events (train &lt;11, test &lt;11)</t>
        </is>
      </c>
    </row>
    <row r="29" ht="23.85" customHeight="1" s="11">
      <c r="A29" s="15" t="inlineStr">
        <is>
          <t>Stroke</t>
        </is>
      </c>
      <c r="B29" s="15" t="inlineStr">
        <is>
          <t>hemorrhagic_stroke</t>
        </is>
      </c>
      <c r="C29" s="15" t="inlineStr">
        <is>
          <t>1y</t>
        </is>
      </c>
      <c r="D29" s="22" t="n"/>
      <c r="E29" s="22" t="n"/>
      <c r="F29" s="22" t="n"/>
      <c r="G29" s="22" t="n">
        <v>0.75</v>
      </c>
      <c r="H29" s="15">
        <f>IF(D29="","not trained",IF(E29&gt;=G29,"Yes","No"))</f>
        <v/>
      </c>
      <c r="I29" s="15" t="n"/>
      <c r="J29" s="15" t="n"/>
      <c r="K29" s="23" t="n"/>
      <c r="L29" s="15" t="inlineStr">
        <is>
          <t>insufficient events (train 28, test &lt;11)</t>
        </is>
      </c>
    </row>
    <row r="30" ht="23.85" customHeight="1" s="11">
      <c r="A30" s="15" t="inlineStr">
        <is>
          <t>Stroke</t>
        </is>
      </c>
      <c r="B30" s="15" t="inlineStr">
        <is>
          <t>tia</t>
        </is>
      </c>
      <c r="C30" s="15" t="inlineStr">
        <is>
          <t>30d</t>
        </is>
      </c>
      <c r="D30" s="22" t="n"/>
      <c r="E30" s="22" t="n"/>
      <c r="F30" s="22" t="n"/>
      <c r="G30" s="22" t="n">
        <v>0.75</v>
      </c>
      <c r="H30" s="15">
        <f>IF(D30="","not trained",IF(E30&gt;=G30,"Yes","No"))</f>
        <v/>
      </c>
      <c r="I30" s="15" t="n"/>
      <c r="J30" s="15" t="n"/>
      <c r="K30" s="23" t="n"/>
      <c r="L30" s="15" t="inlineStr">
        <is>
          <t>insufficient events (train &lt;11, test &lt;11)</t>
        </is>
      </c>
    </row>
    <row r="31" ht="23.85" customHeight="1" s="11">
      <c r="A31" s="15" t="inlineStr">
        <is>
          <t>Heart failure</t>
        </is>
      </c>
      <c r="B31" s="15" t="inlineStr">
        <is>
          <t>hfpef</t>
        </is>
      </c>
      <c r="C31" s="15" t="inlineStr">
        <is>
          <t>30d</t>
        </is>
      </c>
      <c r="D31" s="22" t="n"/>
      <c r="E31" s="22" t="n"/>
      <c r="F31" s="22" t="n"/>
      <c r="G31" s="22" t="n">
        <v>0.8</v>
      </c>
      <c r="H31" s="15">
        <f>IF(D31="","not trained",IF(E31&gt;=G31,"Yes","No"))</f>
        <v/>
      </c>
      <c r="I31" s="15" t="n"/>
      <c r="J31" s="15" t="n"/>
      <c r="K31" s="23" t="n"/>
      <c r="L31" s="15" t="inlineStr">
        <is>
          <t>insufficient events (train 27, test &lt;11)</t>
        </is>
      </c>
    </row>
    <row r="32" ht="23.85" customHeight="1" s="11">
      <c r="A32" s="15" t="inlineStr">
        <is>
          <t>SCD</t>
        </is>
      </c>
      <c r="B32" s="15" t="inlineStr">
        <is>
          <t>scd</t>
        </is>
      </c>
      <c r="C32" s="15" t="inlineStr">
        <is>
          <t>30d</t>
        </is>
      </c>
      <c r="D32" s="22" t="n"/>
      <c r="E32" s="22" t="n"/>
      <c r="F32" s="22" t="n"/>
      <c r="G32" s="22" t="n">
        <v>0.78</v>
      </c>
      <c r="H32" s="15">
        <f>IF(D32="","not trained",IF(E32&gt;=G32,"Yes","No"))</f>
        <v/>
      </c>
      <c r="I32" s="15" t="n"/>
      <c r="J32" s="15" t="n"/>
      <c r="K32" s="23" t="n"/>
      <c r="L32" s="15" t="inlineStr">
        <is>
          <t>insufficient events (train 14, test &lt;11)</t>
        </is>
      </c>
    </row>
  </sheetData>
  <autoFilter ref="A2:L32"/>
  <mergeCells count="1">
    <mergeCell ref="A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2026-10-19T15:55:20Z</dcterms:created>
  <dcterms:modified xmlns:dcterms="http://purl.org/dc/terms/" xmlns:xsi="http://www.w3.org/2001/XMLSchema-instance" xsi:type="dcterms:W3CDTF">2026-10-21T17:55:23Z</dcterms:modified>
  <cp:revision>0</cp:revision>
</cp:coreProperties>
</file>